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p. Informática\Downloads\"/>
    </mc:Choice>
  </mc:AlternateContent>
  <bookViews>
    <workbookView xWindow="0" yWindow="0" windowWidth="28800" windowHeight="1230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6" i="1" l="1"/>
  <c r="AK17" i="1"/>
  <c r="AK18" i="1"/>
  <c r="AK14" i="1" l="1"/>
  <c r="F122" i="1"/>
  <c r="AK107" i="1"/>
  <c r="AK108" i="1"/>
  <c r="AK109" i="1"/>
  <c r="AK110" i="1"/>
  <c r="AK111" i="1"/>
  <c r="AK112" i="1"/>
  <c r="AK113" i="1"/>
  <c r="AK114" i="1"/>
  <c r="AK96" i="1"/>
  <c r="AK97" i="1"/>
  <c r="AK98" i="1"/>
  <c r="AK99" i="1"/>
  <c r="AK100" i="1"/>
  <c r="AK101" i="1"/>
  <c r="AK102" i="1"/>
  <c r="AK103" i="1"/>
  <c r="AK104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105" i="1"/>
  <c r="AK106" i="1"/>
  <c r="AK115" i="1"/>
  <c r="AK116" i="1"/>
  <c r="AK117" i="1"/>
  <c r="AK118" i="1"/>
  <c r="AK119" i="1"/>
  <c r="AK120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22" i="1"/>
  <c r="AK21" i="1"/>
  <c r="AD8" i="1"/>
  <c r="T8" i="1"/>
  <c r="J8" i="1"/>
  <c r="O8" i="1"/>
  <c r="M8" i="1"/>
  <c r="F8" i="1"/>
  <c r="AK19" i="1"/>
  <c r="AK15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AL21" i="1" a="1"/>
  <c r="AL21" i="1" s="1"/>
</calcChain>
</file>

<file path=xl/sharedStrings.xml><?xml version="1.0" encoding="utf-8"?>
<sst xmlns="http://schemas.openxmlformats.org/spreadsheetml/2006/main" count="29" uniqueCount="29">
  <si>
    <t>FR</t>
  </si>
  <si>
    <t>ESCALA DE SERVIÇO</t>
  </si>
  <si>
    <t>NI</t>
  </si>
  <si>
    <t>Nome</t>
  </si>
  <si>
    <t>Catg.</t>
  </si>
  <si>
    <t>Total</t>
  </si>
  <si>
    <t>OFOPE</t>
  </si>
  <si>
    <t>CORPO ATIVO</t>
  </si>
  <si>
    <t>PD</t>
  </si>
  <si>
    <t>Piquete DIA</t>
  </si>
  <si>
    <t>PN</t>
  </si>
  <si>
    <t>Piquete NOITE</t>
  </si>
  <si>
    <t>PT</t>
  </si>
  <si>
    <t>Piquete 24H</t>
  </si>
  <si>
    <t>Formação</t>
  </si>
  <si>
    <t>FE</t>
  </si>
  <si>
    <t>FÉRIAS</t>
  </si>
  <si>
    <t>BX</t>
  </si>
  <si>
    <t>BAIXA</t>
  </si>
  <si>
    <t>O Comandante</t>
  </si>
  <si>
    <t>ED</t>
  </si>
  <si>
    <t>ECIN DIA</t>
  </si>
  <si>
    <t>EN</t>
  </si>
  <si>
    <t>ECIN NOITE</t>
  </si>
  <si>
    <t>ET</t>
  </si>
  <si>
    <t>ECIN 24H</t>
  </si>
  <si>
    <t>EP</t>
  </si>
  <si>
    <t>ECIN D/Piquete N</t>
  </si>
  <si>
    <t>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</si>
</sst>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aux ProLight"/>
    </font>
    <font>
      <b/>
      <sz val="9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6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/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24994659260841701"/>
      </top>
      <bottom/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1" tint="0.499984740745262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1" tint="0.34998626667073579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1" tint="0.34998626667073579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2" fillId="0" borderId="0" xfId="0" applyFont="1"/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17" fillId="0" borderId="0" xfId="0" applyFont="1"/>
    <xf numFmtId="0" fontId="15" fillId="0" borderId="0" xfId="0" applyFont="1"/>
    <xf numFmtId="0" fontId="12" fillId="0" borderId="2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49" xfId="0" applyFont="1" applyBorder="1" applyAlignment="1" applyProtection="1">
      <alignment horizontal="center" vertical="center"/>
      <protection locked="0"/>
    </xf>
    <xf numFmtId="0" fontId="11" fillId="0" borderId="50" xfId="0" applyFont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horizontal="center" vertical="center"/>
      <protection locked="0"/>
    </xf>
    <xf numFmtId="0" fontId="11" fillId="0" borderId="52" xfId="0" applyFont="1" applyBorder="1" applyAlignment="1" applyProtection="1">
      <alignment horizontal="center" vertical="center"/>
      <protection locked="0"/>
    </xf>
    <xf numFmtId="0" fontId="11" fillId="0" borderId="51" xfId="0" applyFont="1" applyBorder="1" applyAlignment="1" applyProtection="1">
      <alignment horizontal="center" vertical="center"/>
      <protection locked="0"/>
    </xf>
    <xf numFmtId="49" fontId="12" fillId="0" borderId="3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 vertical="center"/>
    </xf>
    <xf numFmtId="49" fontId="10" fillId="0" borderId="46" xfId="0" applyNumberFormat="1" applyFont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4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164" fontId="6" fillId="0" borderId="54" xfId="0" applyNumberFormat="1" applyFont="1" applyBorder="1" applyAlignment="1">
      <alignment horizontal="center" vertical="center"/>
    </xf>
    <xf numFmtId="164" fontId="6" fillId="0" borderId="55" xfId="0" applyNumberFormat="1" applyFont="1" applyBorder="1" applyAlignment="1">
      <alignment horizontal="center" vertical="center"/>
    </xf>
    <xf numFmtId="164" fontId="6" fillId="0" borderId="56" xfId="0" applyNumberFormat="1" applyFont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18" fillId="14" borderId="17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/>
    </xf>
    <xf numFmtId="0" fontId="4" fillId="10" borderId="0" xfId="0" applyFont="1" applyFill="1" applyAlignment="1">
      <alignment horizontal="center" vertical="center"/>
    </xf>
    <xf numFmtId="49" fontId="5" fillId="9" borderId="0" xfId="0" applyNumberFormat="1" applyFont="1" applyFill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 textRotation="90"/>
    </xf>
    <xf numFmtId="0" fontId="8" fillId="2" borderId="26" xfId="0" applyFont="1" applyFill="1" applyBorder="1" applyAlignment="1">
      <alignment horizontal="center" vertical="center" textRotation="90"/>
    </xf>
    <xf numFmtId="0" fontId="0" fillId="0" borderId="3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49" fontId="6" fillId="6" borderId="27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49" fontId="6" fillId="6" borderId="28" xfId="0" applyNumberFormat="1" applyFont="1" applyFill="1" applyBorder="1" applyAlignment="1">
      <alignment horizontal="center" vertical="center"/>
    </xf>
    <xf numFmtId="49" fontId="6" fillId="6" borderId="47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0" borderId="57" xfId="0" applyFont="1" applyBorder="1" applyAlignment="1" applyProtection="1">
      <alignment horizontal="center" vertical="center"/>
      <protection locked="0"/>
    </xf>
    <xf numFmtId="0" fontId="11" fillId="0" borderId="58" xfId="0" applyFont="1" applyBorder="1" applyAlignment="1" applyProtection="1">
      <alignment horizontal="center" vertical="center"/>
      <protection locked="0"/>
    </xf>
    <xf numFmtId="0" fontId="11" fillId="0" borderId="59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>
      <alignment horizontal="center" vertical="center"/>
    </xf>
    <xf numFmtId="49" fontId="0" fillId="0" borderId="60" xfId="0" applyNumberForma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13" fillId="0" borderId="62" xfId="0" applyFont="1" applyBorder="1" applyAlignment="1">
      <alignment horizontal="center" vertical="center"/>
    </xf>
  </cellXfs>
  <cellStyles count="1">
    <cellStyle name="Normal" xfId="0" builtinId="0"/>
  </cellStyles>
  <dxfs count="138"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0EE90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0EE90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rgb="FFFFC0CB"/>
        </patternFill>
      </fill>
    </dxf>
    <dxf>
      <fill>
        <patternFill>
          <bgColor rgb="FF90EE9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90EE90"/>
      <color rgb="FFFFC0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IndexEscPiqFin!A1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74500</xdr:rowOff>
    </xdr:from>
    <xdr:to>
      <xdr:col>1</xdr:col>
      <xdr:colOff>0</xdr:colOff>
      <xdr:row>4</xdr:row>
      <xdr:rowOff>38100</xdr:rowOff>
    </xdr:to>
    <xdr:pic>
      <xdr:nvPicPr>
        <xdr:cNvPr id="2" name="LogCtrl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96059B-8DCA-44F7-A45A-4C2BBAECB9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4500"/>
          <a:ext cx="0" cy="725600"/>
        </a:xfrm>
        <a:prstGeom prst="rect">
          <a:avLst/>
        </a:prstGeom>
      </xdr:spPr>
    </xdr:pic>
    <xdr:clientData/>
  </xdr:twoCellAnchor>
  <xdr:twoCellAnchor editAs="oneCell">
    <xdr:from>
      <xdr:col>0</xdr:col>
      <xdr:colOff>77391</xdr:colOff>
      <xdr:row>0</xdr:row>
      <xdr:rowOff>83344</xdr:rowOff>
    </xdr:from>
    <xdr:to>
      <xdr:col>11</xdr:col>
      <xdr:colOff>77390</xdr:colOff>
      <xdr:row>4</xdr:row>
      <xdr:rowOff>55488</xdr:rowOff>
    </xdr:to>
    <xdr:pic>
      <xdr:nvPicPr>
        <xdr:cNvPr id="3" name="LogCtrl01">
          <a:extLst>
            <a:ext uri="{FF2B5EF4-FFF2-40B4-BE49-F238E27FC236}">
              <a16:creationId xmlns:a16="http://schemas.microsoft.com/office/drawing/2014/main" id="{4691DA5A-294B-41D2-9D1F-FA0BD0ACA3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1" y="83344"/>
          <a:ext cx="3417093" cy="734144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0</xdr:row>
      <xdr:rowOff>0</xdr:rowOff>
    </xdr:from>
    <xdr:to>
      <xdr:col>36</xdr:col>
      <xdr:colOff>184254</xdr:colOff>
      <xdr:row>4</xdr:row>
      <xdr:rowOff>77386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82A208E-8E85-4F39-906B-1EBE70D3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62938" y="0"/>
          <a:ext cx="845050" cy="839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3"/>
  <sheetViews>
    <sheetView showGridLines="0" tabSelected="1" topLeftCell="A4" zoomScale="160" zoomScaleNormal="160" workbookViewId="0">
      <selection activeCell="Q16" sqref="Q16"/>
    </sheetView>
  </sheetViews>
  <sheetFormatPr defaultColWidth="0" defaultRowHeight="15" zeroHeight="1"/>
  <cols>
    <col min="1" max="1" width="1.42578125" customWidth="1"/>
    <col min="2" max="2" width="0" hidden="1" customWidth="1"/>
    <col min="3" max="3" width="5" customWidth="1"/>
    <col min="4" max="4" width="20" customWidth="1"/>
    <col min="5" max="5" width="5" customWidth="1"/>
    <col min="6" max="37" width="3.28515625" customWidth="1"/>
    <col min="38" max="38" width="1.42578125" customWidth="1"/>
    <col min="39" max="16384" width="9.140625" hidden="1"/>
  </cols>
  <sheetData>
    <row r="1" spans="3:37"/>
    <row r="2" spans="3:37"/>
    <row r="3" spans="3:37">
      <c r="AB3" s="1"/>
    </row>
    <row r="4" spans="3:37">
      <c r="AJ4" s="2" t="s">
        <v>0</v>
      </c>
    </row>
    <row r="5" spans="3:37"/>
    <row r="6" spans="3:37">
      <c r="C6" s="65" t="s">
        <v>1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</row>
    <row r="7" spans="3:37"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</row>
    <row r="8" spans="3:37" s="62" customFormat="1" ht="3.75" customHeight="1">
      <c r="F8" s="62" t="str">
        <f ca="1">IF(OR(C9="Janeiro"&amp;" "&amp;YEAR(NOW()),C9="Maio"&amp;" "&amp;YEAR(NOW()),C9="Novembro"&amp;" "&amp;YEAR(NOW()),C9="Dezembro"&amp;" "&amp;YEAR(NOW())),"FR","")</f>
        <v/>
      </c>
      <c r="J8" s="62" t="str">
        <f ca="1">IF(OR(C9="Outubro"&amp;" "&amp;YEAR(NOW())),"FR","")</f>
        <v/>
      </c>
      <c r="M8" s="62" t="str">
        <f ca="1">IF(OR(C9="Dezembro"&amp;" "&amp;YEAR(NOW())),"FR","")</f>
        <v/>
      </c>
      <c r="O8" s="62" t="str">
        <f ca="1">IF(OR(C9="Junho"&amp;" "&amp;YEAR(NOW())),"FR","")</f>
        <v/>
      </c>
      <c r="T8" s="62" t="str">
        <f ca="1">IF(OR(C9="Agosto"&amp;" "&amp;YEAR(NOW())),"FR","")</f>
        <v/>
      </c>
      <c r="AD8" s="62" t="str">
        <f ca="1">IF(OR(C9="Abril"&amp;" "&amp;YEAR(NOW()),C9="Dezembro"&amp;" "&amp;YEAR(NOW())),"FR","")</f>
        <v/>
      </c>
    </row>
    <row r="9" spans="3:37" ht="18.75"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</row>
    <row r="10" spans="3:37" ht="3.75" customHeight="1">
      <c r="F10" s="63"/>
    </row>
    <row r="11" spans="3:37">
      <c r="C11" s="67" t="s">
        <v>2</v>
      </c>
      <c r="D11" s="69" t="s">
        <v>3</v>
      </c>
      <c r="E11" s="71" t="s">
        <v>4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73" t="s">
        <v>5</v>
      </c>
    </row>
    <row r="12" spans="3:37">
      <c r="C12" s="68"/>
      <c r="D12" s="70"/>
      <c r="E12" s="72"/>
      <c r="F12" s="55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7"/>
      <c r="AK12" s="74"/>
    </row>
    <row r="13" spans="3:37">
      <c r="C13" s="84" t="s">
        <v>6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</row>
    <row r="14" spans="3:37" ht="13.5" customHeight="1">
      <c r="C14" s="48"/>
      <c r="D14" s="49"/>
      <c r="E14" s="98"/>
      <c r="F14" s="4"/>
      <c r="G14" s="3"/>
      <c r="H14" s="3"/>
      <c r="I14" s="3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5"/>
      <c r="AK14" s="26">
        <f>COUNTIF(F14:AJ14,"N")</f>
        <v>0</v>
      </c>
    </row>
    <row r="15" spans="3:37" ht="13.5" customHeight="1">
      <c r="C15" s="51"/>
      <c r="D15" s="52"/>
      <c r="E15" s="53"/>
      <c r="F15" s="35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2"/>
      <c r="AK15" s="26">
        <f>COUNTIF(F15:AJ15,"N")</f>
        <v>0</v>
      </c>
    </row>
    <row r="16" spans="3:37" ht="13.5" customHeight="1">
      <c r="C16" s="51"/>
      <c r="D16" s="52"/>
      <c r="E16" s="53"/>
      <c r="F16" s="95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7"/>
      <c r="AK16" s="26">
        <f t="shared" ref="AK16:AK18" si="0">COUNTIF(F16:AJ16,"N")</f>
        <v>0</v>
      </c>
    </row>
    <row r="17" spans="3:38" ht="13.5" customHeight="1">
      <c r="C17" s="51"/>
      <c r="D17" s="52"/>
      <c r="E17" s="53"/>
      <c r="F17" s="95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7"/>
      <c r="AK17" s="26">
        <f t="shared" si="0"/>
        <v>0</v>
      </c>
    </row>
    <row r="18" spans="3:38" ht="13.5" customHeight="1">
      <c r="C18" s="51"/>
      <c r="D18" s="52"/>
      <c r="E18" s="53"/>
      <c r="F18" s="95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7"/>
      <c r="AK18" s="26">
        <f t="shared" si="0"/>
        <v>0</v>
      </c>
    </row>
    <row r="19" spans="3:38" ht="13.5" customHeight="1">
      <c r="C19" s="99"/>
      <c r="D19" s="100"/>
      <c r="E19" s="101"/>
      <c r="F19" s="36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4"/>
      <c r="AK19" s="26">
        <f>COUNTIF(F19:AJ19,"N")</f>
        <v>0</v>
      </c>
    </row>
    <row r="20" spans="3:38">
      <c r="C20" s="84" t="s">
        <v>7</v>
      </c>
      <c r="D20" s="85"/>
      <c r="E20" s="85"/>
      <c r="F20" s="85"/>
      <c r="G20" s="85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6"/>
    </row>
    <row r="21" spans="3:38" ht="13.5" customHeight="1">
      <c r="C21" s="48"/>
      <c r="D21" s="49"/>
      <c r="E21" s="50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8"/>
      <c r="AK21" s="27">
        <f>COUNTIF(F21:AJ21,"PD")+COUNTIF(F21:AJ21,"PN")+COUNTIF(F21:AJ21,"PT")*2+COUNTIF(F21:AJ21,"EP")</f>
        <v>0</v>
      </c>
      <c r="AL21" t="b">
        <f t="array" ref="AL21">IF(F21:AJ21=0,F21:AJ21="","")</f>
        <v>1</v>
      </c>
    </row>
    <row r="22" spans="3:38" ht="13.5" customHeight="1">
      <c r="C22" s="51"/>
      <c r="D22" s="52"/>
      <c r="E22" s="53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1"/>
      <c r="AK22" s="27">
        <f>COUNTIF(F22:AJ22,"PD")+COUNTIF(F22:AJ22,"PN")+COUNTIF(F22:AJ22,"PT")*2+COUNTIF(F22:AJ22,"EP")</f>
        <v>0</v>
      </c>
    </row>
    <row r="23" spans="3:38" ht="13.5" customHeight="1">
      <c r="C23" s="51"/>
      <c r="D23" s="52"/>
      <c r="E23" s="53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1"/>
      <c r="AK23" s="27">
        <f t="shared" ref="AK23:AK86" si="1">COUNTIF(F23:AJ23,"PD")+COUNTIF(F23:AJ23,"PN")+COUNTIF(F23:AJ23,"PT")*2+COUNTIF(F23:AJ23,"EP")</f>
        <v>0</v>
      </c>
    </row>
    <row r="24" spans="3:38" ht="13.5" customHeight="1">
      <c r="C24" s="51"/>
      <c r="D24" s="52"/>
      <c r="E24" s="53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1"/>
      <c r="AK24" s="27">
        <f t="shared" si="1"/>
        <v>0</v>
      </c>
    </row>
    <row r="25" spans="3:38" ht="13.5" customHeight="1">
      <c r="C25" s="51"/>
      <c r="D25" s="52"/>
      <c r="E25" s="53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1"/>
      <c r="AK25" s="27">
        <f t="shared" si="1"/>
        <v>0</v>
      </c>
    </row>
    <row r="26" spans="3:38" ht="13.5" customHeight="1">
      <c r="C26" s="51"/>
      <c r="D26" s="52"/>
      <c r="E26" s="53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1"/>
      <c r="AK26" s="27">
        <f t="shared" si="1"/>
        <v>0</v>
      </c>
    </row>
    <row r="27" spans="3:38" ht="13.5" customHeight="1">
      <c r="C27" s="51"/>
      <c r="D27" s="52"/>
      <c r="E27" s="53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1"/>
      <c r="AK27" s="27">
        <f t="shared" si="1"/>
        <v>0</v>
      </c>
    </row>
    <row r="28" spans="3:38" ht="13.5" customHeight="1">
      <c r="C28" s="51"/>
      <c r="D28" s="52"/>
      <c r="E28" s="53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1"/>
      <c r="AK28" s="27">
        <f t="shared" si="1"/>
        <v>0</v>
      </c>
    </row>
    <row r="29" spans="3:38" ht="13.5" customHeight="1">
      <c r="C29" s="51"/>
      <c r="D29" s="52"/>
      <c r="E29" s="53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1"/>
      <c r="AK29" s="27">
        <f t="shared" si="1"/>
        <v>0</v>
      </c>
    </row>
    <row r="30" spans="3:38" ht="13.5" customHeight="1">
      <c r="C30" s="51"/>
      <c r="D30" s="52"/>
      <c r="E30" s="53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1"/>
      <c r="AK30" s="27">
        <f t="shared" si="1"/>
        <v>0</v>
      </c>
    </row>
    <row r="31" spans="3:38" ht="13.5" customHeight="1">
      <c r="C31" s="51"/>
      <c r="D31" s="52"/>
      <c r="E31" s="53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1"/>
      <c r="AK31" s="27">
        <f t="shared" si="1"/>
        <v>0</v>
      </c>
    </row>
    <row r="32" spans="3:38" ht="13.5" customHeight="1">
      <c r="C32" s="51"/>
      <c r="D32" s="52"/>
      <c r="E32" s="53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1"/>
      <c r="AK32" s="27">
        <f t="shared" si="1"/>
        <v>0</v>
      </c>
    </row>
    <row r="33" spans="3:37" ht="13.5" customHeight="1">
      <c r="C33" s="51"/>
      <c r="D33" s="52"/>
      <c r="E33" s="53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1"/>
      <c r="AK33" s="27">
        <f t="shared" si="1"/>
        <v>0</v>
      </c>
    </row>
    <row r="34" spans="3:37" ht="13.5" customHeight="1">
      <c r="C34" s="51"/>
      <c r="D34" s="52"/>
      <c r="E34" s="53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1"/>
      <c r="AK34" s="27">
        <f t="shared" si="1"/>
        <v>0</v>
      </c>
    </row>
    <row r="35" spans="3:37" ht="13.5" customHeight="1">
      <c r="C35" s="51"/>
      <c r="D35" s="52"/>
      <c r="E35" s="53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1"/>
      <c r="AK35" s="27">
        <f t="shared" si="1"/>
        <v>0</v>
      </c>
    </row>
    <row r="36" spans="3:37" ht="13.5" customHeight="1">
      <c r="C36" s="51"/>
      <c r="D36" s="52"/>
      <c r="E36" s="53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1"/>
      <c r="AK36" s="27">
        <f t="shared" si="1"/>
        <v>0</v>
      </c>
    </row>
    <row r="37" spans="3:37" ht="13.5" customHeight="1">
      <c r="C37" s="51"/>
      <c r="D37" s="52"/>
      <c r="E37" s="53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1"/>
      <c r="AK37" s="27">
        <f t="shared" si="1"/>
        <v>0</v>
      </c>
    </row>
    <row r="38" spans="3:37" ht="13.5" customHeight="1">
      <c r="C38" s="51"/>
      <c r="D38" s="52"/>
      <c r="E38" s="53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1"/>
      <c r="AK38" s="27">
        <f t="shared" si="1"/>
        <v>0</v>
      </c>
    </row>
    <row r="39" spans="3:37" ht="13.5" customHeight="1">
      <c r="C39" s="51"/>
      <c r="D39" s="52"/>
      <c r="E39" s="53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1"/>
      <c r="AK39" s="27">
        <f t="shared" si="1"/>
        <v>0</v>
      </c>
    </row>
    <row r="40" spans="3:37" ht="13.5" customHeight="1">
      <c r="C40" s="51"/>
      <c r="D40" s="52"/>
      <c r="E40" s="53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1"/>
      <c r="AK40" s="27">
        <f t="shared" si="1"/>
        <v>0</v>
      </c>
    </row>
    <row r="41" spans="3:37" ht="13.5" customHeight="1">
      <c r="C41" s="51"/>
      <c r="D41" s="52"/>
      <c r="E41" s="53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1"/>
      <c r="AK41" s="27">
        <f t="shared" si="1"/>
        <v>0</v>
      </c>
    </row>
    <row r="42" spans="3:37" ht="13.5" customHeight="1">
      <c r="C42" s="51"/>
      <c r="D42" s="52"/>
      <c r="E42" s="53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1"/>
      <c r="AK42" s="27">
        <f t="shared" si="1"/>
        <v>0</v>
      </c>
    </row>
    <row r="43" spans="3:37" ht="13.5" customHeight="1">
      <c r="C43" s="51"/>
      <c r="D43" s="52"/>
      <c r="E43" s="53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1"/>
      <c r="AK43" s="27">
        <f t="shared" si="1"/>
        <v>0</v>
      </c>
    </row>
    <row r="44" spans="3:37" ht="13.5" customHeight="1">
      <c r="C44" s="51"/>
      <c r="D44" s="52"/>
      <c r="E44" s="53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1"/>
      <c r="AK44" s="27">
        <f t="shared" si="1"/>
        <v>0</v>
      </c>
    </row>
    <row r="45" spans="3:37" ht="13.5" customHeight="1">
      <c r="C45" s="51"/>
      <c r="D45" s="52"/>
      <c r="E45" s="53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1"/>
      <c r="AK45" s="27">
        <f t="shared" si="1"/>
        <v>0</v>
      </c>
    </row>
    <row r="46" spans="3:37" ht="13.5" customHeight="1">
      <c r="C46" s="51"/>
      <c r="D46" s="52"/>
      <c r="E46" s="53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1"/>
      <c r="AK46" s="27">
        <f t="shared" si="1"/>
        <v>0</v>
      </c>
    </row>
    <row r="47" spans="3:37" ht="13.5" customHeight="1">
      <c r="C47" s="51"/>
      <c r="D47" s="52"/>
      <c r="E47" s="53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1"/>
      <c r="AK47" s="27">
        <f t="shared" si="1"/>
        <v>0</v>
      </c>
    </row>
    <row r="48" spans="3:37" ht="13.5" customHeight="1">
      <c r="C48" s="51"/>
      <c r="D48" s="52"/>
      <c r="E48" s="53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1"/>
      <c r="AK48" s="27">
        <f t="shared" si="1"/>
        <v>0</v>
      </c>
    </row>
    <row r="49" spans="3:37" ht="13.5" customHeight="1">
      <c r="C49" s="51"/>
      <c r="D49" s="52"/>
      <c r="E49" s="53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1"/>
      <c r="AK49" s="27">
        <f t="shared" si="1"/>
        <v>0</v>
      </c>
    </row>
    <row r="50" spans="3:37" ht="13.5" customHeight="1">
      <c r="C50" s="51"/>
      <c r="D50" s="52"/>
      <c r="E50" s="53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1"/>
      <c r="AK50" s="27">
        <f t="shared" si="1"/>
        <v>0</v>
      </c>
    </row>
    <row r="51" spans="3:37" ht="13.5" customHeight="1">
      <c r="C51" s="51"/>
      <c r="D51" s="52"/>
      <c r="E51" s="53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1"/>
      <c r="AK51" s="27">
        <f t="shared" si="1"/>
        <v>0</v>
      </c>
    </row>
    <row r="52" spans="3:37" ht="13.5" customHeight="1">
      <c r="C52" s="51"/>
      <c r="D52" s="52"/>
      <c r="E52" s="53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1"/>
      <c r="AK52" s="27">
        <f t="shared" si="1"/>
        <v>0</v>
      </c>
    </row>
    <row r="53" spans="3:37" ht="13.5" customHeight="1">
      <c r="C53" s="51"/>
      <c r="D53" s="52"/>
      <c r="E53" s="53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1"/>
      <c r="AK53" s="27">
        <f t="shared" si="1"/>
        <v>0</v>
      </c>
    </row>
    <row r="54" spans="3:37" ht="13.5" customHeight="1">
      <c r="C54" s="51"/>
      <c r="D54" s="52"/>
      <c r="E54" s="53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1"/>
      <c r="AK54" s="27">
        <f t="shared" si="1"/>
        <v>0</v>
      </c>
    </row>
    <row r="55" spans="3:37" ht="13.5" customHeight="1">
      <c r="C55" s="51"/>
      <c r="D55" s="52"/>
      <c r="E55" s="53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1"/>
      <c r="AK55" s="27">
        <f t="shared" si="1"/>
        <v>0</v>
      </c>
    </row>
    <row r="56" spans="3:37" ht="13.5" customHeight="1">
      <c r="C56" s="51"/>
      <c r="D56" s="52"/>
      <c r="E56" s="53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1"/>
      <c r="AK56" s="27">
        <f t="shared" si="1"/>
        <v>0</v>
      </c>
    </row>
    <row r="57" spans="3:37" ht="13.5" customHeight="1">
      <c r="C57" s="51"/>
      <c r="D57" s="52"/>
      <c r="E57" s="53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1"/>
      <c r="AK57" s="27">
        <f t="shared" si="1"/>
        <v>0</v>
      </c>
    </row>
    <row r="58" spans="3:37" ht="13.5" customHeight="1">
      <c r="C58" s="51"/>
      <c r="D58" s="52"/>
      <c r="E58" s="53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1"/>
      <c r="AK58" s="27">
        <f t="shared" si="1"/>
        <v>0</v>
      </c>
    </row>
    <row r="59" spans="3:37" ht="13.5" customHeight="1">
      <c r="C59" s="51"/>
      <c r="D59" s="52"/>
      <c r="E59" s="53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1"/>
      <c r="AK59" s="27">
        <f t="shared" si="1"/>
        <v>0</v>
      </c>
    </row>
    <row r="60" spans="3:37" ht="13.5" customHeight="1">
      <c r="C60" s="51"/>
      <c r="D60" s="52"/>
      <c r="E60" s="53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1"/>
      <c r="AK60" s="27">
        <f t="shared" si="1"/>
        <v>0</v>
      </c>
    </row>
    <row r="61" spans="3:37" ht="13.5" customHeight="1">
      <c r="C61" s="51"/>
      <c r="D61" s="52"/>
      <c r="E61" s="53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1"/>
      <c r="AK61" s="27">
        <f t="shared" si="1"/>
        <v>0</v>
      </c>
    </row>
    <row r="62" spans="3:37" ht="13.5" customHeight="1">
      <c r="C62" s="51"/>
      <c r="D62" s="52"/>
      <c r="E62" s="53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1"/>
      <c r="AK62" s="27">
        <f t="shared" si="1"/>
        <v>0</v>
      </c>
    </row>
    <row r="63" spans="3:37" ht="13.5" customHeight="1">
      <c r="C63" s="51"/>
      <c r="D63" s="52"/>
      <c r="E63" s="53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1"/>
      <c r="AK63" s="27">
        <f t="shared" si="1"/>
        <v>0</v>
      </c>
    </row>
    <row r="64" spans="3:37" ht="13.5" customHeight="1">
      <c r="C64" s="51"/>
      <c r="D64" s="52"/>
      <c r="E64" s="53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1"/>
      <c r="AK64" s="27">
        <f t="shared" si="1"/>
        <v>0</v>
      </c>
    </row>
    <row r="65" spans="3:37" ht="13.5" customHeight="1">
      <c r="C65" s="51"/>
      <c r="D65" s="52"/>
      <c r="E65" s="53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1"/>
      <c r="AK65" s="27">
        <f t="shared" si="1"/>
        <v>0</v>
      </c>
    </row>
    <row r="66" spans="3:37" ht="13.5" customHeight="1">
      <c r="C66" s="51"/>
      <c r="D66" s="52"/>
      <c r="E66" s="53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1"/>
      <c r="AK66" s="27">
        <f t="shared" si="1"/>
        <v>0</v>
      </c>
    </row>
    <row r="67" spans="3:37" ht="13.5" customHeight="1">
      <c r="C67" s="51"/>
      <c r="D67" s="52"/>
      <c r="E67" s="53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1"/>
      <c r="AK67" s="27">
        <f t="shared" si="1"/>
        <v>0</v>
      </c>
    </row>
    <row r="68" spans="3:37" ht="13.5" customHeight="1">
      <c r="C68" s="51"/>
      <c r="D68" s="52"/>
      <c r="E68" s="53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1"/>
      <c r="AK68" s="27">
        <f t="shared" si="1"/>
        <v>0</v>
      </c>
    </row>
    <row r="69" spans="3:37" ht="13.5" customHeight="1">
      <c r="C69" s="51"/>
      <c r="D69" s="52"/>
      <c r="E69" s="53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1"/>
      <c r="AK69" s="27">
        <f t="shared" si="1"/>
        <v>0</v>
      </c>
    </row>
    <row r="70" spans="3:37" ht="13.5" customHeight="1">
      <c r="C70" s="51"/>
      <c r="D70" s="52"/>
      <c r="E70" s="53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1"/>
      <c r="AK70" s="27">
        <f t="shared" si="1"/>
        <v>0</v>
      </c>
    </row>
    <row r="71" spans="3:37" ht="13.5" customHeight="1">
      <c r="C71" s="51"/>
      <c r="D71" s="52"/>
      <c r="E71" s="53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1"/>
      <c r="AK71" s="27">
        <f t="shared" si="1"/>
        <v>0</v>
      </c>
    </row>
    <row r="72" spans="3:37" ht="13.5" customHeight="1">
      <c r="C72" s="51"/>
      <c r="D72" s="52"/>
      <c r="E72" s="53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1"/>
      <c r="AK72" s="27">
        <f t="shared" si="1"/>
        <v>0</v>
      </c>
    </row>
    <row r="73" spans="3:37" ht="13.5" customHeight="1">
      <c r="C73" s="51"/>
      <c r="D73" s="52"/>
      <c r="E73" s="53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1"/>
      <c r="AK73" s="27">
        <f t="shared" si="1"/>
        <v>0</v>
      </c>
    </row>
    <row r="74" spans="3:37" ht="13.5" customHeight="1">
      <c r="C74" s="51"/>
      <c r="D74" s="52"/>
      <c r="E74" s="53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1"/>
      <c r="AK74" s="27">
        <f t="shared" si="1"/>
        <v>0</v>
      </c>
    </row>
    <row r="75" spans="3:37" ht="13.5" customHeight="1">
      <c r="C75" s="51"/>
      <c r="D75" s="52"/>
      <c r="E75" s="53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1"/>
      <c r="AK75" s="27">
        <f t="shared" si="1"/>
        <v>0</v>
      </c>
    </row>
    <row r="76" spans="3:37" ht="13.5" customHeight="1">
      <c r="C76" s="51"/>
      <c r="D76" s="38"/>
      <c r="E76" s="3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1"/>
      <c r="AK76" s="27">
        <f t="shared" si="1"/>
        <v>0</v>
      </c>
    </row>
    <row r="77" spans="3:37" ht="13.5" customHeight="1">
      <c r="C77" s="51"/>
      <c r="D77" s="38"/>
      <c r="E77" s="39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1"/>
      <c r="AK77" s="27">
        <f t="shared" si="1"/>
        <v>0</v>
      </c>
    </row>
    <row r="78" spans="3:37" ht="13.5" customHeight="1">
      <c r="C78" s="37"/>
      <c r="D78" s="38"/>
      <c r="E78" s="39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1"/>
      <c r="AK78" s="27">
        <f t="shared" si="1"/>
        <v>0</v>
      </c>
    </row>
    <row r="79" spans="3:37" ht="13.5" customHeight="1">
      <c r="C79" s="37"/>
      <c r="D79" s="38"/>
      <c r="E79" s="39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1"/>
      <c r="AK79" s="27">
        <f t="shared" si="1"/>
        <v>0</v>
      </c>
    </row>
    <row r="80" spans="3:37" ht="13.5" customHeight="1">
      <c r="C80" s="37"/>
      <c r="D80" s="38"/>
      <c r="E80" s="39"/>
      <c r="F80" s="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1"/>
      <c r="AK80" s="27">
        <f t="shared" si="1"/>
        <v>0</v>
      </c>
    </row>
    <row r="81" spans="3:37" ht="13.5" customHeight="1">
      <c r="C81" s="37"/>
      <c r="D81" s="38"/>
      <c r="E81" s="39"/>
      <c r="F81" s="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1"/>
      <c r="AK81" s="27">
        <f t="shared" si="1"/>
        <v>0</v>
      </c>
    </row>
    <row r="82" spans="3:37" ht="13.5" customHeight="1">
      <c r="C82" s="37"/>
      <c r="D82" s="38"/>
      <c r="E82" s="39"/>
      <c r="F82" s="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1"/>
      <c r="AK82" s="27">
        <f t="shared" si="1"/>
        <v>0</v>
      </c>
    </row>
    <row r="83" spans="3:37" ht="13.5" customHeight="1">
      <c r="C83" s="37"/>
      <c r="D83" s="38"/>
      <c r="E83" s="39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1"/>
      <c r="AK83" s="27">
        <f t="shared" si="1"/>
        <v>0</v>
      </c>
    </row>
    <row r="84" spans="3:37" ht="13.5" customHeight="1">
      <c r="C84" s="37"/>
      <c r="D84" s="38"/>
      <c r="E84" s="39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1"/>
      <c r="AK84" s="27">
        <f t="shared" si="1"/>
        <v>0</v>
      </c>
    </row>
    <row r="85" spans="3:37" ht="13.5" customHeight="1">
      <c r="C85" s="37"/>
      <c r="D85" s="38"/>
      <c r="E85" s="39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1"/>
      <c r="AK85" s="27">
        <f t="shared" si="1"/>
        <v>0</v>
      </c>
    </row>
    <row r="86" spans="3:37" ht="13.5" customHeight="1">
      <c r="C86" s="37"/>
      <c r="D86" s="38"/>
      <c r="E86" s="39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1"/>
      <c r="AK86" s="27">
        <f t="shared" si="1"/>
        <v>0</v>
      </c>
    </row>
    <row r="87" spans="3:37" ht="13.5" customHeight="1">
      <c r="C87" s="37"/>
      <c r="D87" s="38"/>
      <c r="E87" s="39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1"/>
      <c r="AK87" s="27">
        <f t="shared" ref="AK87:AK120" si="2">COUNTIF(F87:AJ87,"PD")+COUNTIF(F87:AJ87,"PN")+COUNTIF(F87:AJ87,"PT")*2+COUNTIF(F87:AJ87,"EP")</f>
        <v>0</v>
      </c>
    </row>
    <row r="88" spans="3:37" ht="13.5" customHeight="1">
      <c r="C88" s="37"/>
      <c r="D88" s="38"/>
      <c r="E88" s="39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1"/>
      <c r="AK88" s="27">
        <f t="shared" si="2"/>
        <v>0</v>
      </c>
    </row>
    <row r="89" spans="3:37" ht="13.5" customHeight="1">
      <c r="C89" s="37"/>
      <c r="D89" s="38"/>
      <c r="E89" s="39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1"/>
      <c r="AK89" s="27">
        <f t="shared" si="2"/>
        <v>0</v>
      </c>
    </row>
    <row r="90" spans="3:37" ht="13.5" customHeight="1">
      <c r="C90" s="37"/>
      <c r="D90" s="38"/>
      <c r="E90" s="39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1"/>
      <c r="AK90" s="27">
        <f t="shared" si="2"/>
        <v>0</v>
      </c>
    </row>
    <row r="91" spans="3:37" ht="13.5" customHeight="1">
      <c r="C91" s="37"/>
      <c r="D91" s="38"/>
      <c r="E91" s="39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1"/>
      <c r="AK91" s="27">
        <f t="shared" si="2"/>
        <v>0</v>
      </c>
    </row>
    <row r="92" spans="3:37" ht="13.5" customHeight="1">
      <c r="C92" s="37"/>
      <c r="D92" s="38"/>
      <c r="E92" s="39"/>
      <c r="F92" s="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1"/>
      <c r="AK92" s="27">
        <f t="shared" si="2"/>
        <v>0</v>
      </c>
    </row>
    <row r="93" spans="3:37" ht="13.5" customHeight="1">
      <c r="C93" s="37"/>
      <c r="D93" s="38"/>
      <c r="E93" s="39"/>
      <c r="F93" s="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1"/>
      <c r="AK93" s="27">
        <f t="shared" si="2"/>
        <v>0</v>
      </c>
    </row>
    <row r="94" spans="3:37" ht="13.5" customHeight="1">
      <c r="C94" s="37"/>
      <c r="D94" s="38"/>
      <c r="E94" s="39"/>
      <c r="F94" s="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1"/>
      <c r="AK94" s="27">
        <f t="shared" si="2"/>
        <v>0</v>
      </c>
    </row>
    <row r="95" spans="3:37" ht="13.5" customHeight="1">
      <c r="C95" s="37"/>
      <c r="D95" s="38"/>
      <c r="E95" s="39"/>
      <c r="F95" s="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1"/>
      <c r="AK95" s="27">
        <f t="shared" si="2"/>
        <v>0</v>
      </c>
    </row>
    <row r="96" spans="3:37" ht="13.5" customHeight="1">
      <c r="C96" s="37"/>
      <c r="D96" s="38"/>
      <c r="E96" s="39"/>
      <c r="F96" s="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1"/>
      <c r="AK96" s="27">
        <f t="shared" si="2"/>
        <v>0</v>
      </c>
    </row>
    <row r="97" spans="3:37" ht="13.5" customHeight="1">
      <c r="C97" s="37"/>
      <c r="D97" s="38"/>
      <c r="E97" s="39"/>
      <c r="F97" s="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1"/>
      <c r="AK97" s="27">
        <f t="shared" si="2"/>
        <v>0</v>
      </c>
    </row>
    <row r="98" spans="3:37" ht="13.5" customHeight="1">
      <c r="C98" s="37"/>
      <c r="D98" s="38"/>
      <c r="E98" s="39"/>
      <c r="F98" s="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1"/>
      <c r="AK98" s="27">
        <f t="shared" si="2"/>
        <v>0</v>
      </c>
    </row>
    <row r="99" spans="3:37" ht="13.5" customHeight="1">
      <c r="C99" s="37"/>
      <c r="D99" s="38"/>
      <c r="E99" s="39"/>
      <c r="F99" s="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1"/>
      <c r="AK99" s="27">
        <f t="shared" si="2"/>
        <v>0</v>
      </c>
    </row>
    <row r="100" spans="3:37" ht="13.5" customHeight="1">
      <c r="C100" s="37"/>
      <c r="D100" s="38"/>
      <c r="E100" s="39"/>
      <c r="F100" s="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1"/>
      <c r="AK100" s="27">
        <f t="shared" si="2"/>
        <v>0</v>
      </c>
    </row>
    <row r="101" spans="3:37" ht="13.5" customHeight="1">
      <c r="C101" s="37"/>
      <c r="D101" s="38"/>
      <c r="E101" s="39"/>
      <c r="F101" s="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1"/>
      <c r="AK101" s="27">
        <f t="shared" si="2"/>
        <v>0</v>
      </c>
    </row>
    <row r="102" spans="3:37" ht="13.5" customHeight="1">
      <c r="C102" s="37"/>
      <c r="D102" s="38"/>
      <c r="E102" s="39"/>
      <c r="F102" s="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1"/>
      <c r="AK102" s="27">
        <f t="shared" si="2"/>
        <v>0</v>
      </c>
    </row>
    <row r="103" spans="3:37" ht="13.5" customHeight="1">
      <c r="C103" s="37"/>
      <c r="D103" s="38"/>
      <c r="E103" s="39"/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1"/>
      <c r="AK103" s="27">
        <f t="shared" si="2"/>
        <v>0</v>
      </c>
    </row>
    <row r="104" spans="3:37" ht="13.5" customHeight="1">
      <c r="C104" s="37"/>
      <c r="D104" s="38"/>
      <c r="E104" s="39"/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1"/>
      <c r="AK104" s="27">
        <f t="shared" si="2"/>
        <v>0</v>
      </c>
    </row>
    <row r="105" spans="3:37" ht="13.5" customHeight="1">
      <c r="C105" s="37"/>
      <c r="D105" s="38"/>
      <c r="E105" s="39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1"/>
      <c r="AK105" s="27">
        <f t="shared" si="2"/>
        <v>0</v>
      </c>
    </row>
    <row r="106" spans="3:37" ht="13.5" customHeight="1">
      <c r="C106" s="37"/>
      <c r="D106" s="38"/>
      <c r="E106" s="39"/>
      <c r="F106" s="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  <c r="AK106" s="27">
        <f t="shared" si="2"/>
        <v>0</v>
      </c>
    </row>
    <row r="107" spans="3:37" ht="13.5" customHeight="1">
      <c r="C107" s="37"/>
      <c r="D107" s="38"/>
      <c r="E107" s="39"/>
      <c r="F107" s="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  <c r="AK107" s="27">
        <f t="shared" si="2"/>
        <v>0</v>
      </c>
    </row>
    <row r="108" spans="3:37" ht="13.5" customHeight="1">
      <c r="C108" s="37"/>
      <c r="D108" s="38"/>
      <c r="E108" s="39"/>
      <c r="F108" s="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  <c r="AK108" s="27">
        <f t="shared" si="2"/>
        <v>0</v>
      </c>
    </row>
    <row r="109" spans="3:37" ht="13.5" customHeight="1">
      <c r="C109" s="37"/>
      <c r="D109" s="38"/>
      <c r="E109" s="39"/>
      <c r="F109" s="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  <c r="AK109" s="27">
        <f t="shared" si="2"/>
        <v>0</v>
      </c>
    </row>
    <row r="110" spans="3:37" ht="13.5" customHeight="1">
      <c r="C110" s="37"/>
      <c r="D110" s="38"/>
      <c r="E110" s="39"/>
      <c r="F110" s="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  <c r="AK110" s="27">
        <f t="shared" si="2"/>
        <v>0</v>
      </c>
    </row>
    <row r="111" spans="3:37" ht="13.5" customHeight="1">
      <c r="C111" s="37"/>
      <c r="D111" s="38"/>
      <c r="E111" s="39"/>
      <c r="F111" s="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  <c r="AK111" s="27">
        <f t="shared" si="2"/>
        <v>0</v>
      </c>
    </row>
    <row r="112" spans="3:37" ht="13.5" customHeight="1">
      <c r="C112" s="37"/>
      <c r="D112" s="38"/>
      <c r="E112" s="39"/>
      <c r="F112" s="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  <c r="AK112" s="27">
        <f t="shared" si="2"/>
        <v>0</v>
      </c>
    </row>
    <row r="113" spans="3:37" ht="13.5" customHeight="1">
      <c r="C113" s="37"/>
      <c r="D113" s="38"/>
      <c r="E113" s="39"/>
      <c r="F113" s="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  <c r="AK113" s="27">
        <f t="shared" si="2"/>
        <v>0</v>
      </c>
    </row>
    <row r="114" spans="3:37" ht="13.5" customHeight="1">
      <c r="C114" s="37"/>
      <c r="D114" s="38"/>
      <c r="E114" s="39"/>
      <c r="F114" s="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  <c r="AK114" s="27">
        <f t="shared" si="2"/>
        <v>0</v>
      </c>
    </row>
    <row r="115" spans="3:37" ht="13.5" customHeight="1">
      <c r="C115" s="37"/>
      <c r="D115" s="38"/>
      <c r="E115" s="39"/>
      <c r="F115" s="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  <c r="AK115" s="27">
        <f t="shared" si="2"/>
        <v>0</v>
      </c>
    </row>
    <row r="116" spans="3:37" ht="13.5" customHeight="1">
      <c r="C116" s="37"/>
      <c r="D116" s="38"/>
      <c r="E116" s="39"/>
      <c r="F116" s="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1"/>
      <c r="AK116" s="27">
        <f t="shared" si="2"/>
        <v>0</v>
      </c>
    </row>
    <row r="117" spans="3:37" ht="13.5" customHeight="1">
      <c r="C117" s="37"/>
      <c r="D117" s="38"/>
      <c r="E117" s="39"/>
      <c r="F117" s="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1"/>
      <c r="AK117" s="27">
        <f t="shared" si="2"/>
        <v>0</v>
      </c>
    </row>
    <row r="118" spans="3:37" ht="13.5" customHeight="1">
      <c r="C118" s="37"/>
      <c r="D118" s="38"/>
      <c r="E118" s="39"/>
      <c r="F118" s="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1"/>
      <c r="AK118" s="27">
        <f t="shared" si="2"/>
        <v>0</v>
      </c>
    </row>
    <row r="119" spans="3:37" ht="13.5" customHeight="1">
      <c r="C119" s="37"/>
      <c r="D119" s="38"/>
      <c r="E119" s="39"/>
      <c r="F119" s="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1"/>
      <c r="AK119" s="27">
        <f t="shared" si="2"/>
        <v>0</v>
      </c>
    </row>
    <row r="120" spans="3:37" ht="13.5" customHeight="1">
      <c r="C120" s="40"/>
      <c r="D120" s="41"/>
      <c r="E120" s="42"/>
      <c r="F120" s="28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30"/>
      <c r="AK120" s="27">
        <f t="shared" si="2"/>
        <v>0</v>
      </c>
    </row>
    <row r="121" spans="3:37" ht="3.75" customHeight="1">
      <c r="C121" s="43"/>
      <c r="D121" s="44"/>
      <c r="E121" s="45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7"/>
    </row>
    <row r="122" spans="3:37">
      <c r="E122" s="13"/>
      <c r="F122" s="14">
        <f>COUNTIFS(F21:F120,"PD")+COUNTIFS(F21:F120,"PN")+COUNTIFS(F21:F120,"PT")+COUNTIFS(F21:F120,"EP")</f>
        <v>0</v>
      </c>
      <c r="G122" s="15">
        <f>COUNTIFS(G21:G120,"PD")+COUNTIFS(G21:G120,"PN")+COUNTIFS(G21:G120,"PT")*2+COUNTIFS(G21:G120,"EP")</f>
        <v>0</v>
      </c>
      <c r="H122" s="15">
        <f t="shared" ref="H122:AI122" si="3">COUNTIFS(H21:H120,"PD")+COUNTIFS(H21:H120,"PN")+COUNTIFS(H21:H120,"PT")*2+COUNTIFS(H21:H120,"EP")</f>
        <v>0</v>
      </c>
      <c r="I122" s="15">
        <f t="shared" si="3"/>
        <v>0</v>
      </c>
      <c r="J122" s="15">
        <f t="shared" si="3"/>
        <v>0</v>
      </c>
      <c r="K122" s="15">
        <f t="shared" si="3"/>
        <v>0</v>
      </c>
      <c r="L122" s="15">
        <f t="shared" si="3"/>
        <v>0</v>
      </c>
      <c r="M122" s="15">
        <f t="shared" si="3"/>
        <v>0</v>
      </c>
      <c r="N122" s="15">
        <f t="shared" si="3"/>
        <v>0</v>
      </c>
      <c r="O122" s="15">
        <f t="shared" si="3"/>
        <v>0</v>
      </c>
      <c r="P122" s="15">
        <f t="shared" si="3"/>
        <v>0</v>
      </c>
      <c r="Q122" s="15">
        <f t="shared" si="3"/>
        <v>0</v>
      </c>
      <c r="R122" s="15">
        <f t="shared" si="3"/>
        <v>0</v>
      </c>
      <c r="S122" s="15">
        <f t="shared" si="3"/>
        <v>0</v>
      </c>
      <c r="T122" s="15">
        <f t="shared" si="3"/>
        <v>0</v>
      </c>
      <c r="U122" s="15">
        <f t="shared" si="3"/>
        <v>0</v>
      </c>
      <c r="V122" s="15">
        <f t="shared" si="3"/>
        <v>0</v>
      </c>
      <c r="W122" s="15">
        <f t="shared" si="3"/>
        <v>0</v>
      </c>
      <c r="X122" s="15">
        <f t="shared" si="3"/>
        <v>0</v>
      </c>
      <c r="Y122" s="15">
        <f t="shared" si="3"/>
        <v>0</v>
      </c>
      <c r="Z122" s="15">
        <f t="shared" si="3"/>
        <v>0</v>
      </c>
      <c r="AA122" s="15">
        <f t="shared" si="3"/>
        <v>0</v>
      </c>
      <c r="AB122" s="15">
        <f t="shared" si="3"/>
        <v>0</v>
      </c>
      <c r="AC122" s="15">
        <f t="shared" si="3"/>
        <v>0</v>
      </c>
      <c r="AD122" s="15">
        <f t="shared" si="3"/>
        <v>0</v>
      </c>
      <c r="AE122" s="15">
        <f t="shared" si="3"/>
        <v>0</v>
      </c>
      <c r="AF122" s="15">
        <f t="shared" si="3"/>
        <v>0</v>
      </c>
      <c r="AG122" s="15">
        <f t="shared" si="3"/>
        <v>0</v>
      </c>
      <c r="AH122" s="15">
        <f t="shared" si="3"/>
        <v>0</v>
      </c>
      <c r="AI122" s="15">
        <f t="shared" si="3"/>
        <v>0</v>
      </c>
      <c r="AJ122" s="16">
        <f>COUNTIFS(AJ21:AJ120,"PD")+COUNTIFS(AJ21:AJ120,"PN")+COUNTIFS(AJ21:AJ120,"PT")*2+COUNTIFS(AJ21:AJ120,"EP")</f>
        <v>0</v>
      </c>
      <c r="AK122" s="17"/>
    </row>
    <row r="123" spans="3:37" ht="3.75" customHeight="1">
      <c r="E123" s="13"/>
    </row>
    <row r="124" spans="3:37">
      <c r="E124" s="13"/>
      <c r="F124" s="18" t="s">
        <v>8</v>
      </c>
      <c r="G124" s="88" t="s">
        <v>9</v>
      </c>
      <c r="H124" s="88"/>
      <c r="I124" s="88"/>
      <c r="J124" s="88"/>
      <c r="K124" s="12"/>
      <c r="L124" s="19" t="s">
        <v>10</v>
      </c>
      <c r="M124" s="89" t="s">
        <v>11</v>
      </c>
      <c r="N124" s="90"/>
      <c r="O124" s="90"/>
      <c r="P124" s="91"/>
      <c r="Q124" s="12"/>
      <c r="R124" s="20" t="s">
        <v>12</v>
      </c>
      <c r="S124" s="89" t="s">
        <v>13</v>
      </c>
      <c r="T124" s="90"/>
      <c r="U124" s="90"/>
      <c r="V124" s="91"/>
      <c r="X124" s="21" t="s">
        <v>28</v>
      </c>
      <c r="Y124" s="89" t="s">
        <v>14</v>
      </c>
      <c r="Z124" s="90"/>
      <c r="AA124" s="90"/>
      <c r="AB124" s="91"/>
      <c r="AC124" s="12"/>
      <c r="AD124" s="22" t="s">
        <v>15</v>
      </c>
      <c r="AE124" s="89" t="s">
        <v>16</v>
      </c>
      <c r="AF124" s="90"/>
      <c r="AG124" s="90"/>
      <c r="AH124" s="91"/>
    </row>
    <row r="125" spans="3:37" ht="3.75" customHeight="1">
      <c r="E125" s="13"/>
    </row>
    <row r="126" spans="3:37">
      <c r="E126" s="13"/>
      <c r="F126" s="23" t="s">
        <v>17</v>
      </c>
      <c r="G126" s="88" t="s">
        <v>18</v>
      </c>
      <c r="H126" s="88"/>
      <c r="I126" s="88"/>
      <c r="J126" s="88"/>
      <c r="L126" s="58" t="s">
        <v>20</v>
      </c>
      <c r="M126" s="88" t="s">
        <v>21</v>
      </c>
      <c r="N126" s="88"/>
      <c r="O126" s="88"/>
      <c r="P126" s="88"/>
      <c r="R126" s="59" t="s">
        <v>22</v>
      </c>
      <c r="S126" s="89" t="s">
        <v>23</v>
      </c>
      <c r="T126" s="90"/>
      <c r="U126" s="90"/>
      <c r="V126" s="91"/>
      <c r="W126" s="12"/>
      <c r="X126" s="60" t="s">
        <v>24</v>
      </c>
      <c r="Y126" s="89" t="s">
        <v>25</v>
      </c>
      <c r="Z126" s="90"/>
      <c r="AA126" s="90"/>
      <c r="AB126" s="91"/>
      <c r="AD126" s="61" t="s">
        <v>26</v>
      </c>
      <c r="AE126" s="92" t="s">
        <v>27</v>
      </c>
      <c r="AF126" s="93"/>
      <c r="AG126" s="93"/>
      <c r="AH126" s="94"/>
    </row>
    <row r="127" spans="3:37">
      <c r="E127" s="13"/>
    </row>
    <row r="128" spans="3:37">
      <c r="D128" s="64"/>
      <c r="E128" s="64"/>
      <c r="F128" s="64"/>
      <c r="G128" s="64"/>
      <c r="H128" s="64"/>
      <c r="I128" s="64"/>
      <c r="J128" s="64"/>
      <c r="K128" s="64"/>
      <c r="L128" s="64"/>
      <c r="M128" s="75" t="s">
        <v>19</v>
      </c>
      <c r="N128" s="76"/>
      <c r="O128" s="76"/>
      <c r="P128" s="76"/>
      <c r="Q128" s="76"/>
      <c r="R128" s="76"/>
      <c r="S128" s="76"/>
      <c r="T128" s="76"/>
      <c r="U128" s="77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</row>
    <row r="129" spans="3:37">
      <c r="D129" s="64"/>
      <c r="E129" s="64"/>
      <c r="F129" s="64"/>
      <c r="G129" s="64"/>
      <c r="H129" s="64"/>
      <c r="I129" s="64"/>
      <c r="J129" s="64"/>
      <c r="K129" s="64"/>
      <c r="L129" s="64"/>
      <c r="M129" s="78"/>
      <c r="N129" s="79"/>
      <c r="O129" s="79"/>
      <c r="P129" s="79"/>
      <c r="Q129" s="79"/>
      <c r="R129" s="79"/>
      <c r="S129" s="79"/>
      <c r="T129" s="79"/>
      <c r="U129" s="80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</row>
    <row r="130" spans="3:37">
      <c r="D130" s="64"/>
      <c r="E130" s="64"/>
      <c r="F130" s="64"/>
      <c r="G130" s="64"/>
      <c r="H130" s="64"/>
      <c r="I130" s="64"/>
      <c r="J130" s="64"/>
      <c r="K130" s="64"/>
      <c r="L130" s="64"/>
      <c r="M130" s="78"/>
      <c r="N130" s="79"/>
      <c r="O130" s="79"/>
      <c r="P130" s="79"/>
      <c r="Q130" s="79"/>
      <c r="R130" s="79"/>
      <c r="S130" s="79"/>
      <c r="T130" s="79"/>
      <c r="U130" s="80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</row>
    <row r="131" spans="3:37">
      <c r="D131" s="64"/>
      <c r="E131" s="64"/>
      <c r="F131" s="64"/>
      <c r="G131" s="64"/>
      <c r="H131" s="64"/>
      <c r="I131" s="64"/>
      <c r="J131" s="64"/>
      <c r="K131" s="64"/>
      <c r="L131" s="64"/>
      <c r="M131" s="78"/>
      <c r="N131" s="79"/>
      <c r="O131" s="79"/>
      <c r="P131" s="79"/>
      <c r="Q131" s="79"/>
      <c r="R131" s="79"/>
      <c r="S131" s="79"/>
      <c r="T131" s="79"/>
      <c r="U131" s="80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</row>
    <row r="132" spans="3:37">
      <c r="C132" s="24"/>
      <c r="D132" s="64"/>
      <c r="E132" s="64"/>
      <c r="F132" s="64"/>
      <c r="G132" s="64"/>
      <c r="H132" s="64"/>
      <c r="I132" s="64"/>
      <c r="J132" s="64"/>
      <c r="K132" s="64"/>
      <c r="L132" s="64"/>
      <c r="M132" s="81"/>
      <c r="N132" s="82"/>
      <c r="O132" s="82"/>
      <c r="P132" s="82"/>
      <c r="Q132" s="82"/>
      <c r="R132" s="82"/>
      <c r="S132" s="82"/>
      <c r="T132" s="82"/>
      <c r="U132" s="83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25"/>
      <c r="AI132" s="25"/>
      <c r="AJ132" s="25"/>
      <c r="AK132" s="25"/>
    </row>
    <row r="133" spans="3:37">
      <c r="E133" s="13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</sheetData>
  <mergeCells count="20">
    <mergeCell ref="M128:U128"/>
    <mergeCell ref="M129:U132"/>
    <mergeCell ref="C13:AK13"/>
    <mergeCell ref="C20:AK20"/>
    <mergeCell ref="G124:J124"/>
    <mergeCell ref="M124:P124"/>
    <mergeCell ref="S124:V124"/>
    <mergeCell ref="Y124:AB124"/>
    <mergeCell ref="AE124:AH124"/>
    <mergeCell ref="G126:J126"/>
    <mergeCell ref="M126:P126"/>
    <mergeCell ref="S126:V126"/>
    <mergeCell ref="Y126:AB126"/>
    <mergeCell ref="AE126:AH126"/>
    <mergeCell ref="C6:AK7"/>
    <mergeCell ref="C9:AK9"/>
    <mergeCell ref="C11:C12"/>
    <mergeCell ref="D11:D12"/>
    <mergeCell ref="E11:E12"/>
    <mergeCell ref="AK11:AK12"/>
  </mergeCells>
  <phoneticPr fontId="7" type="noConversion"/>
  <conditionalFormatting sqref="F11:F120">
    <cfRule type="expression" dxfId="137" priority="286">
      <formula>$F$11="SÁB"</formula>
    </cfRule>
    <cfRule type="expression" dxfId="136" priority="287">
      <formula>$F$11="DOM"</formula>
    </cfRule>
    <cfRule type="expression" dxfId="135" priority="288">
      <formula>$F$8="CA"</formula>
    </cfRule>
    <cfRule type="expression" dxfId="134" priority="289">
      <formula>$F$8="FR"</formula>
    </cfRule>
  </conditionalFormatting>
  <conditionalFormatting sqref="F14:AJ19">
    <cfRule type="cellIs" dxfId="133" priority="1" operator="equal">
      <formula>"ET"</formula>
    </cfRule>
    <cfRule type="cellIs" dxfId="132" priority="2" operator="equal">
      <formula>"EN"</formula>
    </cfRule>
    <cfRule type="cellIs" dxfId="131" priority="3" operator="equal">
      <formula>"ED"</formula>
    </cfRule>
    <cfRule type="cellIs" dxfId="130" priority="6" operator="equal">
      <formula>"N"</formula>
    </cfRule>
  </conditionalFormatting>
  <conditionalFormatting sqref="F21:AJ120">
    <cfRule type="cellIs" dxfId="129" priority="4" operator="equal">
      <formula>"ET"</formula>
    </cfRule>
    <cfRule type="cellIs" dxfId="128" priority="5" operator="equal">
      <formula>"EN"</formula>
    </cfRule>
    <cfRule type="cellIs" dxfId="127" priority="7" operator="equal">
      <formula>"ED"</formula>
    </cfRule>
    <cfRule type="cellIs" dxfId="126" priority="8" operator="equal">
      <formula>"PN"</formula>
    </cfRule>
    <cfRule type="cellIs" dxfId="125" priority="9" operator="equal">
      <formula>"PD"</formula>
    </cfRule>
    <cfRule type="cellIs" dxfId="124" priority="10" operator="equal">
      <formula>"PT"</formula>
    </cfRule>
    <cfRule type="cellIs" dxfId="123" priority="11" operator="equal">
      <formula>"FO"</formula>
    </cfRule>
    <cfRule type="cellIs" dxfId="122" priority="12" operator="equal">
      <formula>"FE"</formula>
    </cfRule>
    <cfRule type="cellIs" dxfId="121" priority="13" operator="equal">
      <formula>"BX"</formula>
    </cfRule>
    <cfRule type="cellIs" dxfId="120" priority="14" operator="equal">
      <formula>"EP"</formula>
    </cfRule>
  </conditionalFormatting>
  <conditionalFormatting sqref="G11:G120">
    <cfRule type="expression" dxfId="119" priority="282">
      <formula>$G$11="SÁB"</formula>
    </cfRule>
    <cfRule type="expression" dxfId="118" priority="283">
      <formula>$G$11="DOM"</formula>
    </cfRule>
    <cfRule type="expression" dxfId="117" priority="284">
      <formula>$G$8="CA"</formula>
    </cfRule>
    <cfRule type="expression" dxfId="116" priority="285">
      <formula>$G$8="FR"</formula>
    </cfRule>
  </conditionalFormatting>
  <conditionalFormatting sqref="H11:H120">
    <cfRule type="expression" dxfId="115" priority="128">
      <formula>$H$11="SÁB"</formula>
    </cfRule>
    <cfRule type="expression" dxfId="114" priority="129">
      <formula>$H$11="DOM"</formula>
    </cfRule>
    <cfRule type="expression" dxfId="113" priority="130">
      <formula>$H$8="CA"</formula>
    </cfRule>
    <cfRule type="expression" dxfId="112" priority="281">
      <formula>$H$8="FR"</formula>
    </cfRule>
  </conditionalFormatting>
  <conditionalFormatting sqref="I11:I120">
    <cfRule type="expression" dxfId="111" priority="124">
      <formula>$I$11="SÁB"</formula>
    </cfRule>
    <cfRule type="expression" dxfId="110" priority="125">
      <formula>$I$11="DOM"</formula>
    </cfRule>
    <cfRule type="expression" dxfId="109" priority="126">
      <formula>$I$8="CA"</formula>
    </cfRule>
    <cfRule type="expression" dxfId="108" priority="127">
      <formula>$I$8="FR"</formula>
    </cfRule>
  </conditionalFormatting>
  <conditionalFormatting sqref="J11:J120">
    <cfRule type="expression" dxfId="107" priority="120">
      <formula>$J$11="SÁB"</formula>
    </cfRule>
    <cfRule type="expression" dxfId="106" priority="121">
      <formula>$J$11="DOM"</formula>
    </cfRule>
    <cfRule type="expression" dxfId="105" priority="122">
      <formula>$J$8="CA"</formula>
    </cfRule>
    <cfRule type="expression" dxfId="104" priority="123">
      <formula>$J$8="FR"</formula>
    </cfRule>
  </conditionalFormatting>
  <conditionalFormatting sqref="K11:K120">
    <cfRule type="expression" dxfId="103" priority="105">
      <formula>$K$11="SÁB"</formula>
    </cfRule>
    <cfRule type="expression" dxfId="102" priority="106">
      <formula>$K$11="DOM"</formula>
    </cfRule>
    <cfRule type="expression" dxfId="101" priority="107">
      <formula>$K$8="CA"</formula>
    </cfRule>
    <cfRule type="expression" dxfId="100" priority="114">
      <formula>$K$8="FR"</formula>
    </cfRule>
  </conditionalFormatting>
  <conditionalFormatting sqref="L11:L120">
    <cfRule type="expression" dxfId="99" priority="115">
      <formula>$L$11="SÁB"</formula>
    </cfRule>
    <cfRule type="expression" dxfId="98" priority="116">
      <formula>$L$11="DOM"</formula>
    </cfRule>
    <cfRule type="expression" dxfId="97" priority="117">
      <formula>$L$8="CA"</formula>
    </cfRule>
    <cfRule type="expression" dxfId="96" priority="119">
      <formula>$L$8="FR"</formula>
    </cfRule>
  </conditionalFormatting>
  <conditionalFormatting sqref="M11:M120">
    <cfRule type="expression" dxfId="95" priority="110">
      <formula>$M$11="SÁB"</formula>
    </cfRule>
    <cfRule type="expression" dxfId="94" priority="111">
      <formula>$M$11="DOM"</formula>
    </cfRule>
    <cfRule type="expression" dxfId="93" priority="112">
      <formula>$M$8="CA"</formula>
    </cfRule>
    <cfRule type="expression" dxfId="92" priority="113">
      <formula>$M$8="FR"</formula>
    </cfRule>
  </conditionalFormatting>
  <conditionalFormatting sqref="N11:N120">
    <cfRule type="expression" dxfId="91" priority="103">
      <formula>$N$11="SÁB"</formula>
    </cfRule>
    <cfRule type="expression" dxfId="90" priority="104">
      <formula>$N$11="DOM"</formula>
    </cfRule>
    <cfRule type="expression" dxfId="89" priority="108">
      <formula>$N$8="CA"</formula>
    </cfRule>
    <cfRule type="expression" dxfId="88" priority="109">
      <formula>$N$8="FR"</formula>
    </cfRule>
  </conditionalFormatting>
  <conditionalFormatting sqref="O11:O120">
    <cfRule type="expression" dxfId="87" priority="99">
      <formula>$O$11="SÁB"</formula>
    </cfRule>
    <cfRule type="expression" dxfId="86" priority="100">
      <formula>$O$11="DOM"</formula>
    </cfRule>
    <cfRule type="expression" dxfId="85" priority="101">
      <formula>$O$8="CA"</formula>
    </cfRule>
    <cfRule type="expression" dxfId="84" priority="102">
      <formula>$O$8="FR"</formula>
    </cfRule>
  </conditionalFormatting>
  <conditionalFormatting sqref="P11:P120">
    <cfRule type="expression" dxfId="83" priority="95">
      <formula>$P$11="SÁB"</formula>
    </cfRule>
    <cfRule type="expression" dxfId="82" priority="96">
      <formula>$P$11="DOM"</formula>
    </cfRule>
    <cfRule type="expression" dxfId="81" priority="97">
      <formula>$P$8="CA"</formula>
    </cfRule>
    <cfRule type="expression" dxfId="80" priority="98">
      <formula>$P$8="FR"</formula>
    </cfRule>
  </conditionalFormatting>
  <conditionalFormatting sqref="Q11:Q120">
    <cfRule type="expression" dxfId="79" priority="91">
      <formula>$Q$11="SÁB"</formula>
    </cfRule>
    <cfRule type="expression" dxfId="78" priority="92">
      <formula>$Q$11="DOM"</formula>
    </cfRule>
    <cfRule type="expression" dxfId="77" priority="93">
      <formula>$Q$8="CA"</formula>
    </cfRule>
    <cfRule type="expression" dxfId="76" priority="94">
      <formula>$Q$8="FR"</formula>
    </cfRule>
  </conditionalFormatting>
  <conditionalFormatting sqref="R11:R120">
    <cfRule type="expression" dxfId="75" priority="87">
      <formula>$R$11="SÁB"</formula>
    </cfRule>
    <cfRule type="expression" dxfId="74" priority="88">
      <formula>$R$11="DOM"</formula>
    </cfRule>
    <cfRule type="expression" dxfId="73" priority="89">
      <formula>$R$8="CA"</formula>
    </cfRule>
    <cfRule type="expression" dxfId="72" priority="90">
      <formula>$R$8="FR"</formula>
    </cfRule>
  </conditionalFormatting>
  <conditionalFormatting sqref="S11:S120">
    <cfRule type="expression" dxfId="71" priority="83">
      <formula>$S$11="SÁB"</formula>
    </cfRule>
    <cfRule type="expression" dxfId="70" priority="84">
      <formula>$S$11="DOM"</formula>
    </cfRule>
    <cfRule type="expression" dxfId="69" priority="85">
      <formula>$S$8="CA"</formula>
    </cfRule>
    <cfRule type="expression" dxfId="68" priority="86">
      <formula>$S$8="FR"</formula>
    </cfRule>
  </conditionalFormatting>
  <conditionalFormatting sqref="T11:T120">
    <cfRule type="expression" dxfId="67" priority="79">
      <formula>$T$11="SÁB"</formula>
    </cfRule>
    <cfRule type="expression" dxfId="66" priority="80">
      <formula>$T$11="DOM"</formula>
    </cfRule>
    <cfRule type="expression" dxfId="65" priority="81">
      <formula>$T$8="CA"</formula>
    </cfRule>
    <cfRule type="expression" dxfId="64" priority="82">
      <formula>$T$8="FR"</formula>
    </cfRule>
  </conditionalFormatting>
  <conditionalFormatting sqref="U11:U120">
    <cfRule type="expression" dxfId="63" priority="75">
      <formula>$U$11="SÁB"</formula>
    </cfRule>
    <cfRule type="expression" dxfId="62" priority="76">
      <formula>$U$11="DOM"</formula>
    </cfRule>
    <cfRule type="expression" dxfId="61" priority="77">
      <formula>$U$8="FR"</formula>
    </cfRule>
    <cfRule type="expression" dxfId="60" priority="78">
      <formula>$U$8="CA"</formula>
    </cfRule>
  </conditionalFormatting>
  <conditionalFormatting sqref="V11:V120">
    <cfRule type="expression" dxfId="59" priority="71">
      <formula>$V$11="SÁB"</formula>
    </cfRule>
    <cfRule type="expression" dxfId="58" priority="72">
      <formula>$V$11="DOM"</formula>
    </cfRule>
    <cfRule type="expression" dxfId="57" priority="73">
      <formula>$V$8="CA"</formula>
    </cfRule>
    <cfRule type="expression" dxfId="56" priority="74">
      <formula>$V$8="FR"</formula>
    </cfRule>
  </conditionalFormatting>
  <conditionalFormatting sqref="W11:W120">
    <cfRule type="expression" dxfId="55" priority="67">
      <formula>$W$11="SÁB"</formula>
    </cfRule>
    <cfRule type="expression" dxfId="54" priority="68">
      <formula>$W$11="DOM"</formula>
    </cfRule>
    <cfRule type="expression" dxfId="53" priority="69">
      <formula>$W$8="CA"</formula>
    </cfRule>
    <cfRule type="expression" dxfId="52" priority="70">
      <formula>$W$8="FR"</formula>
    </cfRule>
  </conditionalFormatting>
  <conditionalFormatting sqref="X11:X120">
    <cfRule type="expression" dxfId="51" priority="63">
      <formula>$X$11="SÁB"</formula>
    </cfRule>
    <cfRule type="expression" dxfId="50" priority="64">
      <formula>$X$11="DOM"</formula>
    </cfRule>
    <cfRule type="expression" dxfId="49" priority="65">
      <formula>$X$8="CA"</formula>
    </cfRule>
    <cfRule type="expression" dxfId="48" priority="66">
      <formula>$X$8="FR"</formula>
    </cfRule>
  </conditionalFormatting>
  <conditionalFormatting sqref="Y11:Y120">
    <cfRule type="expression" dxfId="47" priority="59">
      <formula>$Y$11="SÁB"</formula>
    </cfRule>
    <cfRule type="expression" dxfId="46" priority="60">
      <formula>$Y$11="DOM"</formula>
    </cfRule>
    <cfRule type="expression" dxfId="45" priority="61">
      <formula>$Y$11="CA"</formula>
    </cfRule>
    <cfRule type="expression" dxfId="44" priority="62">
      <formula>$Y$8="FR"</formula>
    </cfRule>
  </conditionalFormatting>
  <conditionalFormatting sqref="Z11:Z120">
    <cfRule type="expression" dxfId="43" priority="55">
      <formula>$Z$11="SÁB"</formula>
    </cfRule>
    <cfRule type="expression" dxfId="42" priority="56">
      <formula>$Z$11="DOM"</formula>
    </cfRule>
    <cfRule type="expression" dxfId="41" priority="57">
      <formula>$Z$8="CA"</formula>
    </cfRule>
    <cfRule type="expression" dxfId="40" priority="58">
      <formula>$Z$8="FR"</formula>
    </cfRule>
  </conditionalFormatting>
  <conditionalFormatting sqref="AA11:AA120">
    <cfRule type="expression" dxfId="39" priority="51">
      <formula>$AA$11="SÁB"</formula>
    </cfRule>
    <cfRule type="expression" dxfId="38" priority="52">
      <formula>$AA$11="DOM"</formula>
    </cfRule>
    <cfRule type="expression" dxfId="37" priority="53">
      <formula>$AA$8="CA"</formula>
    </cfRule>
    <cfRule type="expression" dxfId="36" priority="54">
      <formula>$AA$8="FR"</formula>
    </cfRule>
  </conditionalFormatting>
  <conditionalFormatting sqref="AB11:AB120">
    <cfRule type="expression" dxfId="35" priority="47">
      <formula>$AB$11="SÁB"</formula>
    </cfRule>
    <cfRule type="expression" dxfId="34" priority="48">
      <formula>$AB$11="DOM"</formula>
    </cfRule>
    <cfRule type="expression" dxfId="33" priority="49">
      <formula>$AB$8="CA"</formula>
    </cfRule>
    <cfRule type="expression" dxfId="32" priority="50">
      <formula>$AB$8="FR"</formula>
    </cfRule>
  </conditionalFormatting>
  <conditionalFormatting sqref="AC11:AC120">
    <cfRule type="expression" dxfId="31" priority="43">
      <formula>$AC$11="SÁB"</formula>
    </cfRule>
    <cfRule type="expression" dxfId="30" priority="44">
      <formula>$AC$11="DOM"</formula>
    </cfRule>
    <cfRule type="expression" dxfId="29" priority="45">
      <formula>$AC$8="CA"</formula>
    </cfRule>
    <cfRule type="expression" dxfId="28" priority="46">
      <formula>$AC$8="FR"</formula>
    </cfRule>
  </conditionalFormatting>
  <conditionalFormatting sqref="AD11:AD120">
    <cfRule type="expression" dxfId="27" priority="39">
      <formula>$AD$11="SÁB"</formula>
    </cfRule>
    <cfRule type="expression" dxfId="26" priority="40">
      <formula>$AD$11="DOM"</formula>
    </cfRule>
    <cfRule type="expression" dxfId="25" priority="41">
      <formula>$AD$8="CA"</formula>
    </cfRule>
    <cfRule type="expression" dxfId="24" priority="42">
      <formula>$AD$8="FR"</formula>
    </cfRule>
  </conditionalFormatting>
  <conditionalFormatting sqref="AE11:AE120">
    <cfRule type="expression" dxfId="23" priority="35">
      <formula>$AE$11="SÁB"</formula>
    </cfRule>
    <cfRule type="expression" dxfId="22" priority="36">
      <formula>$AE$11="DOM"</formula>
    </cfRule>
    <cfRule type="expression" dxfId="21" priority="37">
      <formula>$AE$8="CA"</formula>
    </cfRule>
    <cfRule type="expression" dxfId="20" priority="38">
      <formula>$AE$8="FR"</formula>
    </cfRule>
  </conditionalFormatting>
  <conditionalFormatting sqref="AF11:AF120">
    <cfRule type="expression" dxfId="19" priority="31">
      <formula>$AF$11="SÁB"</formula>
    </cfRule>
    <cfRule type="expression" dxfId="18" priority="32">
      <formula>$AF$11="DOM"</formula>
    </cfRule>
    <cfRule type="expression" dxfId="17" priority="33">
      <formula>$AF$8="CA"</formula>
    </cfRule>
    <cfRule type="expression" dxfId="16" priority="34">
      <formula>$AF$8="FR"</formula>
    </cfRule>
  </conditionalFormatting>
  <conditionalFormatting sqref="AG11:AG120">
    <cfRule type="expression" dxfId="15" priority="27">
      <formula>$AG$11="SÁB"</formula>
    </cfRule>
    <cfRule type="expression" dxfId="14" priority="28">
      <formula>$AG$11="DOM"</formula>
    </cfRule>
    <cfRule type="expression" dxfId="13" priority="29">
      <formula>$AG$8="CA"</formula>
    </cfRule>
    <cfRule type="expression" dxfId="12" priority="30">
      <formula>$AG$8="FR"</formula>
    </cfRule>
  </conditionalFormatting>
  <conditionalFormatting sqref="AH11:AH120">
    <cfRule type="expression" dxfId="11" priority="23">
      <formula>$AH$11="SÁB"</formula>
    </cfRule>
    <cfRule type="expression" dxfId="10" priority="24">
      <formula>$AH$11="DOM"</formula>
    </cfRule>
    <cfRule type="expression" dxfId="9" priority="25">
      <formula>$AH$8="CA"</formula>
    </cfRule>
    <cfRule type="expression" dxfId="8" priority="26">
      <formula>$AH$8="FR"</formula>
    </cfRule>
  </conditionalFormatting>
  <conditionalFormatting sqref="AI11:AI120">
    <cfRule type="expression" dxfId="7" priority="19">
      <formula>$AI$11="SÁB"</formula>
    </cfRule>
    <cfRule type="expression" dxfId="6" priority="20">
      <formula>$AI$11="DOM"</formula>
    </cfRule>
    <cfRule type="expression" dxfId="5" priority="21">
      <formula>$AI$8="FR"</formula>
    </cfRule>
    <cfRule type="expression" dxfId="4" priority="22">
      <formula>$AI$8="CA"</formula>
    </cfRule>
  </conditionalFormatting>
  <conditionalFormatting sqref="AJ11:AJ120">
    <cfRule type="expression" dxfId="3" priority="15">
      <formula>$AJ$11="SÁB"</formula>
    </cfRule>
    <cfRule type="expression" dxfId="2" priority="16">
      <formula>$AJ$11="DOM"</formula>
    </cfRule>
    <cfRule type="expression" dxfId="1" priority="17">
      <formula>$AJ$8="CA"</formula>
    </cfRule>
    <cfRule type="expression" dxfId="0" priority="18">
      <formula>$AJ$8="FR"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Dep. Informática</cp:lastModifiedBy>
  <dcterms:created xsi:type="dcterms:W3CDTF">2025-10-14T20:53:43Z</dcterms:created>
  <dcterms:modified xsi:type="dcterms:W3CDTF">2026-05-22T21:16:05Z</dcterms:modified>
</cp:coreProperties>
</file>