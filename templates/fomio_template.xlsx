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13_ncr:1_{8DD8AA6C-472F-4A5E-8B5C-F1D16D16DD5D}" xr6:coauthVersionLast="47" xr6:coauthVersionMax="47" xr10:uidLastSave="{00000000-0000-0000-0000-000000000000}"/>
  <bookViews>
    <workbookView xWindow="-120" yWindow="-120" windowWidth="29040" windowHeight="1584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D8" i="1"/>
  <c r="T8" i="1"/>
  <c r="J8" i="1"/>
  <c r="O8" i="1"/>
  <c r="M8" i="1"/>
  <c r="F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<sst xmlns="http://schemas.openxmlformats.org/spreadsheetml/2006/main" count="29" uniqueCount="29">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</sst>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0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 vertical="center"/>
    </xf>
    <xf numFmtId="0" fontId="11" fillId="0" borderId="7" xfId="0" applyFont="1" applyBorder="1" applyAlignment="1" applyProtection="1">
      <alignment horizontal="center" vertical="center"/>
      <protection locked="0"/>
    </xf>
    <xf numFmtId="0" fontId="13" fillId="0" borderId="8" xfId="0" applyFont="1" applyBorder="1" applyProtection="1"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49" fontId="10" fillId="0" borderId="35" xfId="0" applyNumberFormat="1" applyFon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Protection="1"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Normal" xfId="0" builtinId="0"/>
  </cellStyles>
  <dxfs count="104"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showRowColHeaders="0" tabSelected="1" zoomScale="160" zoomScaleNormal="160" workbookViewId="0">
      <selection activeCell="U18" sqref="U18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76" t="s">
        <v>1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</row>
    <row r="7" spans="3:37"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</row>
    <row r="8" spans="3:37" s="73" customFormat="1" ht="3.75" customHeight="1">
      <c r="F8" s="73" t="str">
        <f ca="1">IF(OR(C9="Janeiro"&amp;" "&amp;YEAR(NOW()),C9="Maio"&amp;" "&amp;YEAR(NOW()),C9="Novembro"&amp;" "&amp;YEAR(NOW()),C9="Dezembro"&amp;" "&amp;YEAR(NOW())),"FR","")</f>
        <v/>
      </c>
      <c r="J8" s="73" t="str">
        <f ca="1">IF(OR(C9="Outubro"&amp;" "&amp;YEAR(NOW())),"FR","")</f>
        <v/>
      </c>
      <c r="M8" s="73" t="str">
        <f ca="1">IF(OR(C9="Dezembro"&amp;" "&amp;YEAR(NOW())),"FR","")</f>
        <v/>
      </c>
      <c r="O8" s="73" t="str">
        <f ca="1">IF(OR(C9="Junho"&amp;" "&amp;YEAR(NOW())),"FR","")</f>
        <v/>
      </c>
      <c r="T8" s="73" t="str">
        <f ca="1">IF(OR(C9="Agosto"&amp;" "&amp;YEAR(NOW())),"FR","")</f>
        <v/>
      </c>
      <c r="AD8" s="73" t="str">
        <f ca="1">IF(OR(C9="Abril"&amp;" "&amp;YEAR(NOW()),C9="Dezembro"&amp;" "&amp;YEAR(NOW())),"FR","")</f>
        <v/>
      </c>
    </row>
    <row r="9" spans="3:37" ht="18.75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</row>
    <row r="10" spans="3:37" ht="3.75" customHeight="1">
      <c r="F10" s="74"/>
    </row>
    <row r="11" spans="3:37">
      <c r="C11" s="78" t="s">
        <v>2</v>
      </c>
      <c r="D11" s="80" t="s">
        <v>3</v>
      </c>
      <c r="E11" s="82" t="s">
        <v>4</v>
      </c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84" t="s">
        <v>5</v>
      </c>
    </row>
    <row r="12" spans="3:37">
      <c r="C12" s="79"/>
      <c r="D12" s="81"/>
      <c r="E12" s="83"/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8"/>
      <c r="AK12" s="85"/>
    </row>
    <row r="13" spans="3:37">
      <c r="C13" s="95" t="s">
        <v>6</v>
      </c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7"/>
    </row>
    <row r="14" spans="3:37">
      <c r="C14" s="29"/>
      <c r="D14" s="4"/>
      <c r="E14" s="5"/>
      <c r="F14" s="6"/>
      <c r="G14" s="3"/>
      <c r="H14" s="3"/>
      <c r="I14" s="7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8"/>
      <c r="AK14" s="30">
        <f>COUNTIF(F14:AJ14,"N")</f>
        <v>0</v>
      </c>
    </row>
    <row r="15" spans="3:37">
      <c r="C15" s="53"/>
      <c r="D15" s="54"/>
      <c r="E15" s="55"/>
      <c r="F15" s="39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6"/>
      <c r="AK15" s="30">
        <f>COUNTIF(F15:AJ15,"N")</f>
        <v>0</v>
      </c>
    </row>
    <row r="16" spans="3:37">
      <c r="C16" s="56"/>
      <c r="D16" s="57"/>
      <c r="E16" s="58"/>
      <c r="F16" s="40"/>
      <c r="G16" s="37"/>
      <c r="H16" s="37"/>
      <c r="I16" s="41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8"/>
      <c r="AK16" s="30">
        <f>COUNTIF(F16:AJ16,"N")</f>
        <v>0</v>
      </c>
    </row>
    <row r="17" spans="3:38">
      <c r="C17" s="95" t="s">
        <v>7</v>
      </c>
      <c r="D17" s="96"/>
      <c r="E17" s="96"/>
      <c r="F17" s="96"/>
      <c r="G17" s="96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7"/>
    </row>
    <row r="18" spans="3:38">
      <c r="C18" s="59"/>
      <c r="D18" s="60"/>
      <c r="E18" s="61"/>
      <c r="F18" s="9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1"/>
      <c r="AK18" s="31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>
      <c r="C19" s="62"/>
      <c r="D19" s="63"/>
      <c r="E19" s="64"/>
      <c r="F19" s="12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4"/>
      <c r="AK19" s="31">
        <f>COUNTIF(F19:AJ19,"PD")+COUNTIF(F19:AJ19,"PN")+COUNTIF(F19:AJ19,"PT")*2+COUNTIF(F19:AJ19,"EP")</f>
        <v>0</v>
      </c>
    </row>
    <row r="20" spans="3:38">
      <c r="C20" s="62"/>
      <c r="D20" s="63"/>
      <c r="E20" s="64"/>
      <c r="F20" s="12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4"/>
      <c r="AK20" s="31">
        <f t="shared" ref="AK20:AK83" si="0">COUNTIF(F20:AJ20,"PD")+COUNTIF(F20:AJ20,"PN")+COUNTIF(F20:AJ20,"PT")*2+COUNTIF(F20:AJ20,"EP")</f>
        <v>0</v>
      </c>
    </row>
    <row r="21" spans="3:38">
      <c r="C21" s="62"/>
      <c r="D21" s="63"/>
      <c r="E21" s="64"/>
      <c r="F21" s="12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4"/>
      <c r="AK21" s="31">
        <f t="shared" si="0"/>
        <v>0</v>
      </c>
    </row>
    <row r="22" spans="3:38">
      <c r="C22" s="62"/>
      <c r="D22" s="63"/>
      <c r="E22" s="64"/>
      <c r="F22" s="12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4"/>
      <c r="AK22" s="31">
        <f t="shared" si="0"/>
        <v>0</v>
      </c>
    </row>
    <row r="23" spans="3:38">
      <c r="C23" s="62"/>
      <c r="D23" s="63"/>
      <c r="E23" s="64"/>
      <c r="F23" s="12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4"/>
      <c r="AK23" s="31">
        <f t="shared" si="0"/>
        <v>0</v>
      </c>
    </row>
    <row r="24" spans="3:38">
      <c r="C24" s="62"/>
      <c r="D24" s="63"/>
      <c r="E24" s="64"/>
      <c r="F24" s="12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4"/>
      <c r="AK24" s="31">
        <f t="shared" si="0"/>
        <v>0</v>
      </c>
    </row>
    <row r="25" spans="3:38">
      <c r="C25" s="62"/>
      <c r="D25" s="63"/>
      <c r="E25" s="64"/>
      <c r="F25" s="12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4"/>
      <c r="AK25" s="31">
        <f t="shared" si="0"/>
        <v>0</v>
      </c>
    </row>
    <row r="26" spans="3:38">
      <c r="C26" s="62"/>
      <c r="D26" s="63"/>
      <c r="E26" s="64"/>
      <c r="F26" s="12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4"/>
      <c r="AK26" s="31">
        <f t="shared" si="0"/>
        <v>0</v>
      </c>
    </row>
    <row r="27" spans="3:38">
      <c r="C27" s="62"/>
      <c r="D27" s="63"/>
      <c r="E27" s="64"/>
      <c r="F27" s="12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4"/>
      <c r="AK27" s="31">
        <f t="shared" si="0"/>
        <v>0</v>
      </c>
    </row>
    <row r="28" spans="3:38">
      <c r="C28" s="62"/>
      <c r="D28" s="63"/>
      <c r="E28" s="64"/>
      <c r="F28" s="12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4"/>
      <c r="AK28" s="31">
        <f t="shared" si="0"/>
        <v>0</v>
      </c>
    </row>
    <row r="29" spans="3:38">
      <c r="C29" s="62"/>
      <c r="D29" s="63"/>
      <c r="E29" s="64"/>
      <c r="F29" s="12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4"/>
      <c r="AK29" s="31">
        <f t="shared" si="0"/>
        <v>0</v>
      </c>
    </row>
    <row r="30" spans="3:38">
      <c r="C30" s="62"/>
      <c r="D30" s="63"/>
      <c r="E30" s="64"/>
      <c r="F30" s="12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4"/>
      <c r="AK30" s="31">
        <f t="shared" si="0"/>
        <v>0</v>
      </c>
    </row>
    <row r="31" spans="3:38">
      <c r="C31" s="62"/>
      <c r="D31" s="63"/>
      <c r="E31" s="64"/>
      <c r="F31" s="12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4"/>
      <c r="AK31" s="31">
        <f t="shared" si="0"/>
        <v>0</v>
      </c>
    </row>
    <row r="32" spans="3:38">
      <c r="C32" s="62"/>
      <c r="D32" s="63"/>
      <c r="E32" s="64"/>
      <c r="F32" s="12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4"/>
      <c r="AK32" s="31">
        <f t="shared" si="0"/>
        <v>0</v>
      </c>
    </row>
    <row r="33" spans="3:37">
      <c r="C33" s="62"/>
      <c r="D33" s="63"/>
      <c r="E33" s="64"/>
      <c r="F33" s="12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4"/>
      <c r="AK33" s="31">
        <f t="shared" si="0"/>
        <v>0</v>
      </c>
    </row>
    <row r="34" spans="3:37">
      <c r="C34" s="62"/>
      <c r="D34" s="63"/>
      <c r="E34" s="64"/>
      <c r="F34" s="12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4"/>
      <c r="AK34" s="31">
        <f t="shared" si="0"/>
        <v>0</v>
      </c>
    </row>
    <row r="35" spans="3:37">
      <c r="C35" s="62"/>
      <c r="D35" s="63"/>
      <c r="E35" s="64"/>
      <c r="F35" s="12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4"/>
      <c r="AK35" s="31">
        <f t="shared" si="0"/>
        <v>0</v>
      </c>
    </row>
    <row r="36" spans="3:37">
      <c r="C36" s="62"/>
      <c r="D36" s="63"/>
      <c r="E36" s="64"/>
      <c r="F36" s="12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4"/>
      <c r="AK36" s="31">
        <f t="shared" si="0"/>
        <v>0</v>
      </c>
    </row>
    <row r="37" spans="3:37">
      <c r="C37" s="62"/>
      <c r="D37" s="63"/>
      <c r="E37" s="64"/>
      <c r="F37" s="12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4"/>
      <c r="AK37" s="31">
        <f t="shared" si="0"/>
        <v>0</v>
      </c>
    </row>
    <row r="38" spans="3:37">
      <c r="C38" s="62"/>
      <c r="D38" s="63"/>
      <c r="E38" s="64"/>
      <c r="F38" s="12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4"/>
      <c r="AK38" s="31">
        <f t="shared" si="0"/>
        <v>0</v>
      </c>
    </row>
    <row r="39" spans="3:37">
      <c r="C39" s="62"/>
      <c r="D39" s="63"/>
      <c r="E39" s="64"/>
      <c r="F39" s="12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4"/>
      <c r="AK39" s="31">
        <f t="shared" si="0"/>
        <v>0</v>
      </c>
    </row>
    <row r="40" spans="3:37">
      <c r="C40" s="62"/>
      <c r="D40" s="63"/>
      <c r="E40" s="64"/>
      <c r="F40" s="12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4"/>
      <c r="AK40" s="31">
        <f t="shared" si="0"/>
        <v>0</v>
      </c>
    </row>
    <row r="41" spans="3:37">
      <c r="C41" s="62"/>
      <c r="D41" s="63"/>
      <c r="E41" s="64"/>
      <c r="F41" s="12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4"/>
      <c r="AK41" s="31">
        <f t="shared" si="0"/>
        <v>0</v>
      </c>
    </row>
    <row r="42" spans="3:37">
      <c r="C42" s="62"/>
      <c r="D42" s="63"/>
      <c r="E42" s="64"/>
      <c r="F42" s="12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4"/>
      <c r="AK42" s="31">
        <f t="shared" si="0"/>
        <v>0</v>
      </c>
    </row>
    <row r="43" spans="3:37">
      <c r="C43" s="62"/>
      <c r="D43" s="63"/>
      <c r="E43" s="64"/>
      <c r="F43" s="12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4"/>
      <c r="AK43" s="31">
        <f t="shared" si="0"/>
        <v>0</v>
      </c>
    </row>
    <row r="44" spans="3:37">
      <c r="C44" s="62"/>
      <c r="D44" s="63"/>
      <c r="E44" s="64"/>
      <c r="F44" s="12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4"/>
      <c r="AK44" s="31">
        <f t="shared" si="0"/>
        <v>0</v>
      </c>
    </row>
    <row r="45" spans="3:37">
      <c r="C45" s="62"/>
      <c r="D45" s="63"/>
      <c r="E45" s="64"/>
      <c r="F45" s="12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4"/>
      <c r="AK45" s="31">
        <f t="shared" si="0"/>
        <v>0</v>
      </c>
    </row>
    <row r="46" spans="3:37">
      <c r="C46" s="62"/>
      <c r="D46" s="63"/>
      <c r="E46" s="64"/>
      <c r="F46" s="12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4"/>
      <c r="AK46" s="31">
        <f t="shared" si="0"/>
        <v>0</v>
      </c>
    </row>
    <row r="47" spans="3:37">
      <c r="C47" s="62"/>
      <c r="D47" s="63"/>
      <c r="E47" s="64"/>
      <c r="F47" s="12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4"/>
      <c r="AK47" s="31">
        <f t="shared" si="0"/>
        <v>0</v>
      </c>
    </row>
    <row r="48" spans="3:37">
      <c r="C48" s="62"/>
      <c r="D48" s="63"/>
      <c r="E48" s="64"/>
      <c r="F48" s="12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4"/>
      <c r="AK48" s="31">
        <f t="shared" si="0"/>
        <v>0</v>
      </c>
    </row>
    <row r="49" spans="3:37">
      <c r="C49" s="62"/>
      <c r="D49" s="63"/>
      <c r="E49" s="64"/>
      <c r="F49" s="12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4"/>
      <c r="AK49" s="31">
        <f t="shared" si="0"/>
        <v>0</v>
      </c>
    </row>
    <row r="50" spans="3:37">
      <c r="C50" s="62"/>
      <c r="D50" s="63"/>
      <c r="E50" s="64"/>
      <c r="F50" s="12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4"/>
      <c r="AK50" s="31">
        <f t="shared" si="0"/>
        <v>0</v>
      </c>
    </row>
    <row r="51" spans="3:37">
      <c r="C51" s="62"/>
      <c r="D51" s="63"/>
      <c r="E51" s="64"/>
      <c r="F51" s="12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4"/>
      <c r="AK51" s="31">
        <f t="shared" si="0"/>
        <v>0</v>
      </c>
    </row>
    <row r="52" spans="3:37">
      <c r="C52" s="62"/>
      <c r="D52" s="63"/>
      <c r="E52" s="64"/>
      <c r="F52" s="12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4"/>
      <c r="AK52" s="31">
        <f t="shared" si="0"/>
        <v>0</v>
      </c>
    </row>
    <row r="53" spans="3:37">
      <c r="C53" s="62"/>
      <c r="D53" s="63"/>
      <c r="E53" s="64"/>
      <c r="F53" s="12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4"/>
      <c r="AK53" s="31">
        <f t="shared" si="0"/>
        <v>0</v>
      </c>
    </row>
    <row r="54" spans="3:37">
      <c r="C54" s="62"/>
      <c r="D54" s="63"/>
      <c r="E54" s="64"/>
      <c r="F54" s="12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4"/>
      <c r="AK54" s="31">
        <f t="shared" si="0"/>
        <v>0</v>
      </c>
    </row>
    <row r="55" spans="3:37">
      <c r="C55" s="62"/>
      <c r="D55" s="63"/>
      <c r="E55" s="64"/>
      <c r="F55" s="12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4"/>
      <c r="AK55" s="31">
        <f t="shared" si="0"/>
        <v>0</v>
      </c>
    </row>
    <row r="56" spans="3:37">
      <c r="C56" s="62"/>
      <c r="D56" s="63"/>
      <c r="E56" s="64"/>
      <c r="F56" s="12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4"/>
      <c r="AK56" s="31">
        <f t="shared" si="0"/>
        <v>0</v>
      </c>
    </row>
    <row r="57" spans="3:37">
      <c r="C57" s="62"/>
      <c r="D57" s="63"/>
      <c r="E57" s="64"/>
      <c r="F57" s="12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4"/>
      <c r="AK57" s="31">
        <f t="shared" si="0"/>
        <v>0</v>
      </c>
    </row>
    <row r="58" spans="3:37">
      <c r="C58" s="62"/>
      <c r="D58" s="63"/>
      <c r="E58" s="64"/>
      <c r="F58" s="12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4"/>
      <c r="AK58" s="31">
        <f t="shared" si="0"/>
        <v>0</v>
      </c>
    </row>
    <row r="59" spans="3:37">
      <c r="C59" s="62"/>
      <c r="D59" s="63"/>
      <c r="E59" s="64"/>
      <c r="F59" s="12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4"/>
      <c r="AK59" s="31">
        <f t="shared" si="0"/>
        <v>0</v>
      </c>
    </row>
    <row r="60" spans="3:37">
      <c r="C60" s="62"/>
      <c r="D60" s="63"/>
      <c r="E60" s="64"/>
      <c r="F60" s="12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4"/>
      <c r="AK60" s="31">
        <f t="shared" si="0"/>
        <v>0</v>
      </c>
    </row>
    <row r="61" spans="3:37">
      <c r="C61" s="62"/>
      <c r="D61" s="63"/>
      <c r="E61" s="64"/>
      <c r="F61" s="12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4"/>
      <c r="AK61" s="31">
        <f t="shared" si="0"/>
        <v>0</v>
      </c>
    </row>
    <row r="62" spans="3:37">
      <c r="C62" s="62"/>
      <c r="D62" s="63"/>
      <c r="E62" s="64"/>
      <c r="F62" s="12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4"/>
      <c r="AK62" s="31">
        <f t="shared" si="0"/>
        <v>0</v>
      </c>
    </row>
    <row r="63" spans="3:37">
      <c r="C63" s="62"/>
      <c r="D63" s="63"/>
      <c r="E63" s="64"/>
      <c r="F63" s="12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4"/>
      <c r="AK63" s="31">
        <f t="shared" si="0"/>
        <v>0</v>
      </c>
    </row>
    <row r="64" spans="3:37">
      <c r="C64" s="62"/>
      <c r="D64" s="63"/>
      <c r="E64" s="64"/>
      <c r="F64" s="12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4"/>
      <c r="AK64" s="31">
        <f t="shared" si="0"/>
        <v>0</v>
      </c>
    </row>
    <row r="65" spans="3:37">
      <c r="C65" s="62"/>
      <c r="D65" s="63"/>
      <c r="E65" s="64"/>
      <c r="F65" s="12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4"/>
      <c r="AK65" s="31">
        <f t="shared" si="0"/>
        <v>0</v>
      </c>
    </row>
    <row r="66" spans="3:37">
      <c r="C66" s="62"/>
      <c r="D66" s="63"/>
      <c r="E66" s="64"/>
      <c r="F66" s="12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4"/>
      <c r="AK66" s="31">
        <f t="shared" si="0"/>
        <v>0</v>
      </c>
    </row>
    <row r="67" spans="3:37">
      <c r="C67" s="62"/>
      <c r="D67" s="63"/>
      <c r="E67" s="64"/>
      <c r="F67" s="12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4"/>
      <c r="AK67" s="31">
        <f t="shared" si="0"/>
        <v>0</v>
      </c>
    </row>
    <row r="68" spans="3:37">
      <c r="C68" s="62"/>
      <c r="D68" s="63"/>
      <c r="E68" s="64"/>
      <c r="F68" s="12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4"/>
      <c r="AK68" s="31">
        <f t="shared" si="0"/>
        <v>0</v>
      </c>
    </row>
    <row r="69" spans="3:37">
      <c r="C69" s="62"/>
      <c r="D69" s="63"/>
      <c r="E69" s="64"/>
      <c r="F69" s="12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4"/>
      <c r="AK69" s="31">
        <f t="shared" si="0"/>
        <v>0</v>
      </c>
    </row>
    <row r="70" spans="3:37">
      <c r="C70" s="62"/>
      <c r="D70" s="63"/>
      <c r="E70" s="64"/>
      <c r="F70" s="12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4"/>
      <c r="AK70" s="31">
        <f t="shared" si="0"/>
        <v>0</v>
      </c>
    </row>
    <row r="71" spans="3:37">
      <c r="C71" s="62"/>
      <c r="D71" s="63"/>
      <c r="E71" s="64"/>
      <c r="F71" s="12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4"/>
      <c r="AK71" s="31">
        <f t="shared" si="0"/>
        <v>0</v>
      </c>
    </row>
    <row r="72" spans="3:37">
      <c r="C72" s="62"/>
      <c r="D72" s="63"/>
      <c r="E72" s="64"/>
      <c r="F72" s="12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4"/>
      <c r="AK72" s="31">
        <f t="shared" si="0"/>
        <v>0</v>
      </c>
    </row>
    <row r="73" spans="3:37">
      <c r="C73" s="62"/>
      <c r="D73" s="43"/>
      <c r="E73" s="44"/>
      <c r="F73" s="12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4"/>
      <c r="AK73" s="31">
        <f t="shared" si="0"/>
        <v>0</v>
      </c>
    </row>
    <row r="74" spans="3:37">
      <c r="C74" s="62"/>
      <c r="D74" s="43"/>
      <c r="E74" s="44"/>
      <c r="F74" s="12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4"/>
      <c r="AK74" s="31">
        <f t="shared" si="0"/>
        <v>0</v>
      </c>
    </row>
    <row r="75" spans="3:37">
      <c r="C75" s="42"/>
      <c r="D75" s="43"/>
      <c r="E75" s="44"/>
      <c r="F75" s="12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4"/>
      <c r="AK75" s="31">
        <f t="shared" si="0"/>
        <v>0</v>
      </c>
    </row>
    <row r="76" spans="3:37">
      <c r="C76" s="42"/>
      <c r="D76" s="43"/>
      <c r="E76" s="44"/>
      <c r="F76" s="12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4"/>
      <c r="AK76" s="31">
        <f t="shared" si="0"/>
        <v>0</v>
      </c>
    </row>
    <row r="77" spans="3:37">
      <c r="C77" s="42"/>
      <c r="D77" s="43"/>
      <c r="E77" s="44"/>
      <c r="F77" s="12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4"/>
      <c r="AK77" s="31">
        <f t="shared" si="0"/>
        <v>0</v>
      </c>
    </row>
    <row r="78" spans="3:37">
      <c r="C78" s="42"/>
      <c r="D78" s="43"/>
      <c r="E78" s="44"/>
      <c r="F78" s="12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4"/>
      <c r="AK78" s="31">
        <f t="shared" si="0"/>
        <v>0</v>
      </c>
    </row>
    <row r="79" spans="3:37">
      <c r="C79" s="42"/>
      <c r="D79" s="43"/>
      <c r="E79" s="44"/>
      <c r="F79" s="12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4"/>
      <c r="AK79" s="31">
        <f t="shared" si="0"/>
        <v>0</v>
      </c>
    </row>
    <row r="80" spans="3:37">
      <c r="C80" s="42"/>
      <c r="D80" s="43"/>
      <c r="E80" s="44"/>
      <c r="F80" s="12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4"/>
      <c r="AK80" s="31">
        <f t="shared" si="0"/>
        <v>0</v>
      </c>
    </row>
    <row r="81" spans="3:37">
      <c r="C81" s="42"/>
      <c r="D81" s="43"/>
      <c r="E81" s="44"/>
      <c r="F81" s="12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4"/>
      <c r="AK81" s="31">
        <f t="shared" si="0"/>
        <v>0</v>
      </c>
    </row>
    <row r="82" spans="3:37">
      <c r="C82" s="42"/>
      <c r="D82" s="43"/>
      <c r="E82" s="44"/>
      <c r="F82" s="12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4"/>
      <c r="AK82" s="31">
        <f t="shared" si="0"/>
        <v>0</v>
      </c>
    </row>
    <row r="83" spans="3:37">
      <c r="C83" s="42"/>
      <c r="D83" s="43"/>
      <c r="E83" s="44"/>
      <c r="F83" s="12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4"/>
      <c r="AK83" s="31">
        <f t="shared" si="0"/>
        <v>0</v>
      </c>
    </row>
    <row r="84" spans="3:37">
      <c r="C84" s="42"/>
      <c r="D84" s="43"/>
      <c r="E84" s="44"/>
      <c r="F84" s="12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4"/>
      <c r="AK84" s="31">
        <f t="shared" ref="AK84:AK117" si="1">COUNTIF(F84:AJ84,"PD")+COUNTIF(F84:AJ84,"PN")+COUNTIF(F84:AJ84,"PT")*2+COUNTIF(F84:AJ84,"EP")</f>
        <v>0</v>
      </c>
    </row>
    <row r="85" spans="3:37">
      <c r="C85" s="42"/>
      <c r="D85" s="43"/>
      <c r="E85" s="44"/>
      <c r="F85" s="12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4"/>
      <c r="AK85" s="31">
        <f t="shared" si="1"/>
        <v>0</v>
      </c>
    </row>
    <row r="86" spans="3:37">
      <c r="C86" s="42"/>
      <c r="D86" s="43"/>
      <c r="E86" s="44"/>
      <c r="F86" s="12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4"/>
      <c r="AK86" s="31">
        <f t="shared" si="1"/>
        <v>0</v>
      </c>
    </row>
    <row r="87" spans="3:37">
      <c r="C87" s="42"/>
      <c r="D87" s="43"/>
      <c r="E87" s="44"/>
      <c r="F87" s="12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4"/>
      <c r="AK87" s="31">
        <f t="shared" si="1"/>
        <v>0</v>
      </c>
    </row>
    <row r="88" spans="3:37">
      <c r="C88" s="42"/>
      <c r="D88" s="43"/>
      <c r="E88" s="44"/>
      <c r="F88" s="12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4"/>
      <c r="AK88" s="31">
        <f t="shared" si="1"/>
        <v>0</v>
      </c>
    </row>
    <row r="89" spans="3:37">
      <c r="C89" s="42"/>
      <c r="D89" s="43"/>
      <c r="E89" s="44"/>
      <c r="F89" s="12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4"/>
      <c r="AK89" s="31">
        <f t="shared" si="1"/>
        <v>0</v>
      </c>
    </row>
    <row r="90" spans="3:37">
      <c r="C90" s="42"/>
      <c r="D90" s="43"/>
      <c r="E90" s="44"/>
      <c r="F90" s="12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4"/>
      <c r="AK90" s="31">
        <f t="shared" si="1"/>
        <v>0</v>
      </c>
    </row>
    <row r="91" spans="3:37">
      <c r="C91" s="42"/>
      <c r="D91" s="43"/>
      <c r="E91" s="44"/>
      <c r="F91" s="12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4"/>
      <c r="AK91" s="31">
        <f t="shared" si="1"/>
        <v>0</v>
      </c>
    </row>
    <row r="92" spans="3:37">
      <c r="C92" s="42"/>
      <c r="D92" s="43"/>
      <c r="E92" s="44"/>
      <c r="F92" s="12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4"/>
      <c r="AK92" s="31">
        <f t="shared" si="1"/>
        <v>0</v>
      </c>
    </row>
    <row r="93" spans="3:37">
      <c r="C93" s="42"/>
      <c r="D93" s="43"/>
      <c r="E93" s="44"/>
      <c r="F93" s="12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4"/>
      <c r="AK93" s="31">
        <f t="shared" si="1"/>
        <v>0</v>
      </c>
    </row>
    <row r="94" spans="3:37">
      <c r="C94" s="42"/>
      <c r="D94" s="43"/>
      <c r="E94" s="44"/>
      <c r="F94" s="12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4"/>
      <c r="AK94" s="31">
        <f t="shared" si="1"/>
        <v>0</v>
      </c>
    </row>
    <row r="95" spans="3:37">
      <c r="C95" s="42"/>
      <c r="D95" s="43"/>
      <c r="E95" s="44"/>
      <c r="F95" s="12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4"/>
      <c r="AK95" s="31">
        <f t="shared" si="1"/>
        <v>0</v>
      </c>
    </row>
    <row r="96" spans="3:37">
      <c r="C96" s="42"/>
      <c r="D96" s="43"/>
      <c r="E96" s="44"/>
      <c r="F96" s="12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4"/>
      <c r="AK96" s="31">
        <f t="shared" si="1"/>
        <v>0</v>
      </c>
    </row>
    <row r="97" spans="3:37">
      <c r="C97" s="42"/>
      <c r="D97" s="43"/>
      <c r="E97" s="44"/>
      <c r="F97" s="12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4"/>
      <c r="AK97" s="31">
        <f t="shared" si="1"/>
        <v>0</v>
      </c>
    </row>
    <row r="98" spans="3:37">
      <c r="C98" s="42"/>
      <c r="D98" s="43"/>
      <c r="E98" s="44"/>
      <c r="F98" s="12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4"/>
      <c r="AK98" s="31">
        <f t="shared" si="1"/>
        <v>0</v>
      </c>
    </row>
    <row r="99" spans="3:37">
      <c r="C99" s="42"/>
      <c r="D99" s="43"/>
      <c r="E99" s="44"/>
      <c r="F99" s="12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4"/>
      <c r="AK99" s="31">
        <f t="shared" si="1"/>
        <v>0</v>
      </c>
    </row>
    <row r="100" spans="3:37">
      <c r="C100" s="42"/>
      <c r="D100" s="43"/>
      <c r="E100" s="44"/>
      <c r="F100" s="12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4"/>
      <c r="AK100" s="31">
        <f t="shared" si="1"/>
        <v>0</v>
      </c>
    </row>
    <row r="101" spans="3:37">
      <c r="C101" s="42"/>
      <c r="D101" s="43"/>
      <c r="E101" s="44"/>
      <c r="F101" s="12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4"/>
      <c r="AK101" s="31">
        <f t="shared" si="1"/>
        <v>0</v>
      </c>
    </row>
    <row r="102" spans="3:37">
      <c r="C102" s="42"/>
      <c r="D102" s="43"/>
      <c r="E102" s="44"/>
      <c r="F102" s="12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4"/>
      <c r="AK102" s="31">
        <f t="shared" si="1"/>
        <v>0</v>
      </c>
    </row>
    <row r="103" spans="3:37">
      <c r="C103" s="42"/>
      <c r="D103" s="43"/>
      <c r="E103" s="44"/>
      <c r="F103" s="12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4"/>
      <c r="AK103" s="31">
        <f t="shared" si="1"/>
        <v>0</v>
      </c>
    </row>
    <row r="104" spans="3:37">
      <c r="C104" s="42"/>
      <c r="D104" s="43"/>
      <c r="E104" s="44"/>
      <c r="F104" s="12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4"/>
      <c r="AK104" s="31">
        <f t="shared" si="1"/>
        <v>0</v>
      </c>
    </row>
    <row r="105" spans="3:37">
      <c r="C105" s="42"/>
      <c r="D105" s="43"/>
      <c r="E105" s="44"/>
      <c r="F105" s="12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4"/>
      <c r="AK105" s="31">
        <f t="shared" si="1"/>
        <v>0</v>
      </c>
    </row>
    <row r="106" spans="3:37">
      <c r="C106" s="42"/>
      <c r="D106" s="43"/>
      <c r="E106" s="44"/>
      <c r="F106" s="12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4"/>
      <c r="AK106" s="31">
        <f t="shared" si="1"/>
        <v>0</v>
      </c>
    </row>
    <row r="107" spans="3:37">
      <c r="C107" s="42"/>
      <c r="D107" s="43"/>
      <c r="E107" s="44"/>
      <c r="F107" s="12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4"/>
      <c r="AK107" s="31">
        <f t="shared" si="1"/>
        <v>0</v>
      </c>
    </row>
    <row r="108" spans="3:37">
      <c r="C108" s="42"/>
      <c r="D108" s="43"/>
      <c r="E108" s="44"/>
      <c r="F108" s="12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4"/>
      <c r="AK108" s="31">
        <f t="shared" si="1"/>
        <v>0</v>
      </c>
    </row>
    <row r="109" spans="3:37">
      <c r="C109" s="42"/>
      <c r="D109" s="43"/>
      <c r="E109" s="44"/>
      <c r="F109" s="12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4"/>
      <c r="AK109" s="31">
        <f t="shared" si="1"/>
        <v>0</v>
      </c>
    </row>
    <row r="110" spans="3:37">
      <c r="C110" s="42"/>
      <c r="D110" s="43"/>
      <c r="E110" s="44"/>
      <c r="F110" s="12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4"/>
      <c r="AK110" s="31">
        <f t="shared" si="1"/>
        <v>0</v>
      </c>
    </row>
    <row r="111" spans="3:37">
      <c r="C111" s="42"/>
      <c r="D111" s="43"/>
      <c r="E111" s="44"/>
      <c r="F111" s="12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4"/>
      <c r="AK111" s="31">
        <f t="shared" si="1"/>
        <v>0</v>
      </c>
    </row>
    <row r="112" spans="3:37">
      <c r="C112" s="42"/>
      <c r="D112" s="43"/>
      <c r="E112" s="44"/>
      <c r="F112" s="12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4"/>
      <c r="AK112" s="31">
        <f t="shared" si="1"/>
        <v>0</v>
      </c>
    </row>
    <row r="113" spans="3:37">
      <c r="C113" s="42"/>
      <c r="D113" s="43"/>
      <c r="E113" s="44"/>
      <c r="F113" s="12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4"/>
      <c r="AK113" s="31">
        <f t="shared" si="1"/>
        <v>0</v>
      </c>
    </row>
    <row r="114" spans="3:37">
      <c r="C114" s="42"/>
      <c r="D114" s="43"/>
      <c r="E114" s="44"/>
      <c r="F114" s="12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4"/>
      <c r="AK114" s="31">
        <f t="shared" si="1"/>
        <v>0</v>
      </c>
    </row>
    <row r="115" spans="3:37">
      <c r="C115" s="42"/>
      <c r="D115" s="43"/>
      <c r="E115" s="44"/>
      <c r="F115" s="12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4"/>
      <c r="AK115" s="31">
        <f t="shared" si="1"/>
        <v>0</v>
      </c>
    </row>
    <row r="116" spans="3:37">
      <c r="C116" s="42"/>
      <c r="D116" s="43"/>
      <c r="E116" s="44"/>
      <c r="F116" s="12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4"/>
      <c r="AK116" s="31">
        <f t="shared" si="1"/>
        <v>0</v>
      </c>
    </row>
    <row r="117" spans="3:37">
      <c r="C117" s="45"/>
      <c r="D117" s="46"/>
      <c r="E117" s="47"/>
      <c r="F117" s="32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4"/>
      <c r="AK117" s="31">
        <f t="shared" si="1"/>
        <v>0</v>
      </c>
    </row>
    <row r="118" spans="3:37" ht="3.75" customHeight="1">
      <c r="C118" s="48"/>
      <c r="D118" s="49"/>
      <c r="E118" s="50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2"/>
    </row>
    <row r="119" spans="3:37">
      <c r="E119" s="16"/>
      <c r="F119" s="17">
        <f>COUNTIFS(F18:F117,"PD")+COUNTIFS(F18:F117,"PN")+COUNTIFS(F18:F117,"PT")+COUNTIFS(F18:F117,"EP")</f>
        <v>0</v>
      </c>
      <c r="G119" s="18">
        <f>COUNTIFS(G18:G117,"PD")+COUNTIFS(G18:G117,"PN")+COUNTIFS(G18:G117,"PT")*2+COUNTIFS(G18:G117,"EP")</f>
        <v>0</v>
      </c>
      <c r="H119" s="18">
        <f t="shared" ref="H119:AI119" si="2">COUNTIFS(H18:H117,"PD")+COUNTIFS(H18:H117,"PN")+COUNTIFS(H18:H117,"PT")*2+COUNTIFS(H18:H117,"EP")</f>
        <v>0</v>
      </c>
      <c r="I119" s="18">
        <f t="shared" si="2"/>
        <v>0</v>
      </c>
      <c r="J119" s="18">
        <f t="shared" si="2"/>
        <v>0</v>
      </c>
      <c r="K119" s="18">
        <f t="shared" si="2"/>
        <v>0</v>
      </c>
      <c r="L119" s="18">
        <f t="shared" si="2"/>
        <v>0</v>
      </c>
      <c r="M119" s="18">
        <f t="shared" si="2"/>
        <v>0</v>
      </c>
      <c r="N119" s="18">
        <f t="shared" si="2"/>
        <v>0</v>
      </c>
      <c r="O119" s="18">
        <f t="shared" si="2"/>
        <v>0</v>
      </c>
      <c r="P119" s="18">
        <f t="shared" si="2"/>
        <v>0</v>
      </c>
      <c r="Q119" s="18">
        <f t="shared" si="2"/>
        <v>0</v>
      </c>
      <c r="R119" s="18">
        <f t="shared" si="2"/>
        <v>0</v>
      </c>
      <c r="S119" s="18">
        <f t="shared" si="2"/>
        <v>0</v>
      </c>
      <c r="T119" s="18">
        <f t="shared" si="2"/>
        <v>0</v>
      </c>
      <c r="U119" s="18">
        <f t="shared" si="2"/>
        <v>0</v>
      </c>
      <c r="V119" s="18">
        <f t="shared" si="2"/>
        <v>0</v>
      </c>
      <c r="W119" s="18">
        <f t="shared" si="2"/>
        <v>0</v>
      </c>
      <c r="X119" s="18">
        <f t="shared" si="2"/>
        <v>0</v>
      </c>
      <c r="Y119" s="18">
        <f t="shared" si="2"/>
        <v>0</v>
      </c>
      <c r="Z119" s="18">
        <f t="shared" si="2"/>
        <v>0</v>
      </c>
      <c r="AA119" s="18">
        <f t="shared" si="2"/>
        <v>0</v>
      </c>
      <c r="AB119" s="18">
        <f t="shared" si="2"/>
        <v>0</v>
      </c>
      <c r="AC119" s="18">
        <f t="shared" si="2"/>
        <v>0</v>
      </c>
      <c r="AD119" s="18">
        <f t="shared" si="2"/>
        <v>0</v>
      </c>
      <c r="AE119" s="18">
        <f t="shared" si="2"/>
        <v>0</v>
      </c>
      <c r="AF119" s="18">
        <f t="shared" si="2"/>
        <v>0</v>
      </c>
      <c r="AG119" s="18">
        <f t="shared" si="2"/>
        <v>0</v>
      </c>
      <c r="AH119" s="18">
        <f t="shared" si="2"/>
        <v>0</v>
      </c>
      <c r="AI119" s="18">
        <f t="shared" si="2"/>
        <v>0</v>
      </c>
      <c r="AJ119" s="19">
        <f>COUNTIFS(AJ18:AJ117,"PD")+COUNTIFS(AJ18:AJ117,"PN")+COUNTIFS(AJ18:AJ117,"PT")*2+COUNTIFS(AJ18:AJ117,"EP")</f>
        <v>0</v>
      </c>
      <c r="AK119" s="20"/>
    </row>
    <row r="120" spans="3:37" ht="3.75" customHeight="1">
      <c r="E120" s="16"/>
    </row>
    <row r="121" spans="3:37">
      <c r="E121" s="16"/>
      <c r="F121" s="21" t="s">
        <v>8</v>
      </c>
      <c r="G121" s="99" t="s">
        <v>9</v>
      </c>
      <c r="H121" s="99"/>
      <c r="I121" s="99"/>
      <c r="J121" s="99"/>
      <c r="K121" s="15"/>
      <c r="L121" s="22" t="s">
        <v>10</v>
      </c>
      <c r="M121" s="100" t="s">
        <v>11</v>
      </c>
      <c r="N121" s="101"/>
      <c r="O121" s="101"/>
      <c r="P121" s="102"/>
      <c r="Q121" s="15"/>
      <c r="R121" s="23" t="s">
        <v>12</v>
      </c>
      <c r="S121" s="100" t="s">
        <v>13</v>
      </c>
      <c r="T121" s="101"/>
      <c r="U121" s="101"/>
      <c r="V121" s="102"/>
      <c r="X121" s="24" t="s">
        <v>28</v>
      </c>
      <c r="Y121" s="100" t="s">
        <v>14</v>
      </c>
      <c r="Z121" s="101"/>
      <c r="AA121" s="101"/>
      <c r="AB121" s="102"/>
      <c r="AC121" s="15"/>
      <c r="AD121" s="25" t="s">
        <v>15</v>
      </c>
      <c r="AE121" s="100" t="s">
        <v>16</v>
      </c>
      <c r="AF121" s="101"/>
      <c r="AG121" s="101"/>
      <c r="AH121" s="102"/>
    </row>
    <row r="122" spans="3:37" ht="3.75" customHeight="1">
      <c r="E122" s="16"/>
    </row>
    <row r="123" spans="3:37">
      <c r="E123" s="16"/>
      <c r="F123" s="26" t="s">
        <v>17</v>
      </c>
      <c r="G123" s="99" t="s">
        <v>18</v>
      </c>
      <c r="H123" s="99"/>
      <c r="I123" s="99"/>
      <c r="J123" s="99"/>
      <c r="L123" s="69" t="s">
        <v>20</v>
      </c>
      <c r="M123" s="99" t="s">
        <v>21</v>
      </c>
      <c r="N123" s="99"/>
      <c r="O123" s="99"/>
      <c r="P123" s="99"/>
      <c r="R123" s="70" t="s">
        <v>22</v>
      </c>
      <c r="S123" s="100" t="s">
        <v>23</v>
      </c>
      <c r="T123" s="101"/>
      <c r="U123" s="101"/>
      <c r="V123" s="102"/>
      <c r="W123" s="15"/>
      <c r="X123" s="71" t="s">
        <v>24</v>
      </c>
      <c r="Y123" s="100" t="s">
        <v>25</v>
      </c>
      <c r="Z123" s="101"/>
      <c r="AA123" s="101"/>
      <c r="AB123" s="102"/>
      <c r="AD123" s="72" t="s">
        <v>26</v>
      </c>
      <c r="AE123" s="103" t="s">
        <v>27</v>
      </c>
      <c r="AF123" s="104"/>
      <c r="AG123" s="104"/>
      <c r="AH123" s="105"/>
    </row>
    <row r="124" spans="3:37">
      <c r="E124" s="16"/>
    </row>
    <row r="125" spans="3:37">
      <c r="D125" s="75"/>
      <c r="E125" s="75"/>
      <c r="F125" s="75"/>
      <c r="G125" s="75"/>
      <c r="H125" s="75"/>
      <c r="I125" s="75"/>
      <c r="J125" s="75"/>
      <c r="K125" s="75"/>
      <c r="L125" s="75"/>
      <c r="M125" s="86" t="s">
        <v>19</v>
      </c>
      <c r="N125" s="87"/>
      <c r="O125" s="87"/>
      <c r="P125" s="87"/>
      <c r="Q125" s="87"/>
      <c r="R125" s="87"/>
      <c r="S125" s="87"/>
      <c r="T125" s="87"/>
      <c r="U125" s="88"/>
      <c r="V125" s="75"/>
      <c r="W125" s="75"/>
      <c r="X125" s="75"/>
      <c r="Y125" s="75"/>
      <c r="Z125" s="75"/>
      <c r="AA125" s="75"/>
      <c r="AB125" s="75"/>
      <c r="AC125" s="75"/>
      <c r="AD125" s="75"/>
      <c r="AE125" s="75"/>
      <c r="AF125" s="75"/>
      <c r="AG125" s="75"/>
    </row>
    <row r="126" spans="3:37">
      <c r="D126" s="75"/>
      <c r="E126" s="75"/>
      <c r="F126" s="75"/>
      <c r="G126" s="75"/>
      <c r="H126" s="75"/>
      <c r="I126" s="75"/>
      <c r="J126" s="75"/>
      <c r="K126" s="75"/>
      <c r="L126" s="75"/>
      <c r="M126" s="89"/>
      <c r="N126" s="90"/>
      <c r="O126" s="90"/>
      <c r="P126" s="90"/>
      <c r="Q126" s="90"/>
      <c r="R126" s="90"/>
      <c r="S126" s="90"/>
      <c r="T126" s="90"/>
      <c r="U126" s="91"/>
      <c r="V126" s="75"/>
      <c r="W126" s="75"/>
      <c r="X126" s="75"/>
      <c r="Y126" s="75"/>
      <c r="Z126" s="75"/>
      <c r="AA126" s="75"/>
      <c r="AB126" s="75"/>
      <c r="AC126" s="75"/>
      <c r="AD126" s="75"/>
      <c r="AE126" s="75"/>
      <c r="AF126" s="75"/>
      <c r="AG126" s="75"/>
    </row>
    <row r="127" spans="3:37">
      <c r="D127" s="75"/>
      <c r="E127" s="75"/>
      <c r="F127" s="75"/>
      <c r="G127" s="75"/>
      <c r="H127" s="75"/>
      <c r="I127" s="75"/>
      <c r="J127" s="75"/>
      <c r="K127" s="75"/>
      <c r="L127" s="75"/>
      <c r="M127" s="89"/>
      <c r="N127" s="90"/>
      <c r="O127" s="90"/>
      <c r="P127" s="90"/>
      <c r="Q127" s="90"/>
      <c r="R127" s="90"/>
      <c r="S127" s="90"/>
      <c r="T127" s="90"/>
      <c r="U127" s="91"/>
      <c r="V127" s="75"/>
      <c r="W127" s="75"/>
      <c r="X127" s="75"/>
      <c r="Y127" s="75"/>
      <c r="Z127" s="75"/>
      <c r="AA127" s="75"/>
      <c r="AB127" s="75"/>
      <c r="AC127" s="75"/>
      <c r="AD127" s="75"/>
      <c r="AE127" s="75"/>
      <c r="AF127" s="75"/>
      <c r="AG127" s="75"/>
    </row>
    <row r="128" spans="3:37">
      <c r="D128" s="75"/>
      <c r="E128" s="75"/>
      <c r="F128" s="75"/>
      <c r="G128" s="75"/>
      <c r="H128" s="75"/>
      <c r="I128" s="75"/>
      <c r="J128" s="75"/>
      <c r="K128" s="75"/>
      <c r="L128" s="75"/>
      <c r="M128" s="89"/>
      <c r="N128" s="90"/>
      <c r="O128" s="90"/>
      <c r="P128" s="90"/>
      <c r="Q128" s="90"/>
      <c r="R128" s="90"/>
      <c r="S128" s="90"/>
      <c r="T128" s="90"/>
      <c r="U128" s="91"/>
      <c r="V128" s="75"/>
      <c r="W128" s="75"/>
      <c r="X128" s="75"/>
      <c r="Y128" s="75"/>
      <c r="Z128" s="75"/>
      <c r="AA128" s="75"/>
      <c r="AB128" s="75"/>
      <c r="AC128" s="75"/>
      <c r="AD128" s="75"/>
      <c r="AE128" s="75"/>
      <c r="AF128" s="75"/>
      <c r="AG128" s="75"/>
    </row>
    <row r="129" spans="3:37">
      <c r="C129" s="27"/>
      <c r="D129" s="75"/>
      <c r="E129" s="75"/>
      <c r="F129" s="75"/>
      <c r="G129" s="75"/>
      <c r="H129" s="75"/>
      <c r="I129" s="75"/>
      <c r="J129" s="75"/>
      <c r="K129" s="75"/>
      <c r="L129" s="75"/>
      <c r="M129" s="92"/>
      <c r="N129" s="93"/>
      <c r="O129" s="93"/>
      <c r="P129" s="93"/>
      <c r="Q129" s="93"/>
      <c r="R129" s="93"/>
      <c r="S129" s="93"/>
      <c r="T129" s="93"/>
      <c r="U129" s="94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28"/>
      <c r="AI129" s="28"/>
      <c r="AJ129" s="28"/>
      <c r="AK129" s="28"/>
    </row>
    <row r="130" spans="3:37">
      <c r="E130" s="16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</row>
  </sheetData>
  <mergeCells count="20"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  <mergeCell ref="C6:AK7"/>
    <mergeCell ref="C9:AK9"/>
    <mergeCell ref="C11:C12"/>
    <mergeCell ref="D11:D12"/>
    <mergeCell ref="E11:E12"/>
    <mergeCell ref="AK11:AK12"/>
  </mergeCells>
  <phoneticPr fontId="7" type="noConversion"/>
  <conditionalFormatting sqref="F11:F117">
    <cfRule type="expression" dxfId="103" priority="169">
      <formula>$F$11="SÁB"</formula>
    </cfRule>
    <cfRule type="expression" dxfId="102" priority="168">
      <formula>$F$8="FR"</formula>
    </cfRule>
    <cfRule type="expression" dxfId="101" priority="170">
      <formula>$F$11="DOM"</formula>
    </cfRule>
  </conditionalFormatting>
  <conditionalFormatting sqref="F15:AJ16">
    <cfRule type="cellIs" dxfId="100" priority="5" operator="equal">
      <formula>"N"</formula>
    </cfRule>
  </conditionalFormatting>
  <conditionalFormatting sqref="F18:AJ117">
    <cfRule type="cellIs" dxfId="99" priority="2" operator="equal">
      <formula>"ET"</formula>
    </cfRule>
    <cfRule type="cellIs" dxfId="98" priority="3" operator="equal">
      <formula>"EN"</formula>
    </cfRule>
    <cfRule type="cellIs" dxfId="97" priority="4" operator="equal">
      <formula>"ED"</formula>
    </cfRule>
    <cfRule type="cellIs" dxfId="96" priority="6" operator="equal">
      <formula>"PN"</formula>
    </cfRule>
    <cfRule type="cellIs" dxfId="95" priority="7" operator="equal">
      <formula>"PD"</formula>
    </cfRule>
    <cfRule type="cellIs" dxfId="94" priority="8" operator="equal">
      <formula>"PT"</formula>
    </cfRule>
    <cfRule type="cellIs" dxfId="93" priority="9" operator="equal">
      <formula>"FO"</formula>
    </cfRule>
    <cfRule type="cellIs" dxfId="92" priority="10" operator="equal">
      <formula>"FE"</formula>
    </cfRule>
    <cfRule type="cellIs" dxfId="91" priority="11" operator="equal">
      <formula>"BX"</formula>
    </cfRule>
    <cfRule type="cellIs" dxfId="90" priority="1" operator="equal">
      <formula>"EP"</formula>
    </cfRule>
  </conditionalFormatting>
  <conditionalFormatting sqref="G11:G117">
    <cfRule type="expression" dxfId="89" priority="165">
      <formula>$G$8="FR"</formula>
    </cfRule>
    <cfRule type="expression" dxfId="88" priority="166">
      <formula>$G$11="SÁB"</formula>
    </cfRule>
    <cfRule type="expression" dxfId="87" priority="167">
      <formula>$G$11="DOM"</formula>
    </cfRule>
  </conditionalFormatting>
  <conditionalFormatting sqref="H11:H117">
    <cfRule type="expression" dxfId="86" priority="163">
      <formula>$H$11="SÁB"</formula>
    </cfRule>
    <cfRule type="expression" dxfId="85" priority="162">
      <formula>$H$8="FR"</formula>
    </cfRule>
    <cfRule type="expression" dxfId="84" priority="164">
      <formula>$H$11="DOM"</formula>
    </cfRule>
  </conditionalFormatting>
  <conditionalFormatting sqref="I11:I117">
    <cfRule type="expression" dxfId="83" priority="159">
      <formula>$I$8="FR"</formula>
    </cfRule>
    <cfRule type="expression" dxfId="82" priority="161">
      <formula>$I$11="DOM"</formula>
    </cfRule>
    <cfRule type="expression" dxfId="81" priority="160">
      <formula>$I$11="SÁB"</formula>
    </cfRule>
  </conditionalFormatting>
  <conditionalFormatting sqref="J11:J117">
    <cfRule type="expression" dxfId="80" priority="158">
      <formula>$J$11="DOM"</formula>
    </cfRule>
    <cfRule type="expression" dxfId="79" priority="156">
      <formula>$J$8="FR"</formula>
    </cfRule>
    <cfRule type="expression" dxfId="78" priority="157">
      <formula>$J$11="SÁB"</formula>
    </cfRule>
  </conditionalFormatting>
  <conditionalFormatting sqref="K11:K117">
    <cfRule type="expression" dxfId="77" priority="155">
      <formula>$K$11="DOM"</formula>
    </cfRule>
    <cfRule type="expression" dxfId="76" priority="153">
      <formula>$K$8="FR"</formula>
    </cfRule>
    <cfRule type="expression" dxfId="75" priority="154">
      <formula>$K$11="SÁB"</formula>
    </cfRule>
  </conditionalFormatting>
  <conditionalFormatting sqref="L11:L117">
    <cfRule type="expression" dxfId="74" priority="151">
      <formula>$L$11="SÁB"</formula>
    </cfRule>
    <cfRule type="expression" dxfId="73" priority="150">
      <formula>$L$8="FR"</formula>
    </cfRule>
    <cfRule type="expression" dxfId="72" priority="152">
      <formula>$L$11="DOM"</formula>
    </cfRule>
  </conditionalFormatting>
  <conditionalFormatting sqref="M11:M117">
    <cfRule type="expression" dxfId="71" priority="149">
      <formula>$M$11="DOM"</formula>
    </cfRule>
    <cfRule type="expression" dxfId="70" priority="148">
      <formula>$M$11="SÁB"</formula>
    </cfRule>
    <cfRule type="expression" dxfId="69" priority="147">
      <formula>$M$8="FR"</formula>
    </cfRule>
  </conditionalFormatting>
  <conditionalFormatting sqref="N11:N117">
    <cfRule type="expression" dxfId="68" priority="146">
      <formula>$N$11="DOM"</formula>
    </cfRule>
    <cfRule type="expression" dxfId="67" priority="145">
      <formula>$N$11="SÁB"</formula>
    </cfRule>
    <cfRule type="expression" dxfId="66" priority="144">
      <formula>$N$8="FR"</formula>
    </cfRule>
  </conditionalFormatting>
  <conditionalFormatting sqref="O11:O117">
    <cfRule type="expression" dxfId="65" priority="141">
      <formula>$O$8="FR"</formula>
    </cfRule>
    <cfRule type="expression" dxfId="64" priority="142">
      <formula>$O$11="SÁB"</formula>
    </cfRule>
    <cfRule type="expression" dxfId="63" priority="143">
      <formula>$O$11="DOM"</formula>
    </cfRule>
  </conditionalFormatting>
  <conditionalFormatting sqref="P11:P117">
    <cfRule type="expression" dxfId="62" priority="139">
      <formula>$P$11="SÁB"</formula>
    </cfRule>
    <cfRule type="expression" dxfId="61" priority="140">
      <formula>$P$11="DOM"</formula>
    </cfRule>
    <cfRule type="expression" dxfId="60" priority="138">
      <formula>$P$8="FR"</formula>
    </cfRule>
  </conditionalFormatting>
  <conditionalFormatting sqref="Q11:Q117">
    <cfRule type="expression" dxfId="59" priority="137">
      <formula>$Q$11="DOM"</formula>
    </cfRule>
    <cfRule type="expression" dxfId="58" priority="73">
      <formula>$Q$11="SÁB"</formula>
    </cfRule>
    <cfRule type="expression" dxfId="57" priority="72">
      <formula>$Q$8="FR"</formula>
    </cfRule>
  </conditionalFormatting>
  <conditionalFormatting sqref="R11:R117">
    <cfRule type="expression" dxfId="56" priority="66">
      <formula>$R$8="FR"</formula>
    </cfRule>
    <cfRule type="expression" dxfId="55" priority="71">
      <formula>$R$11="DOM"</formula>
    </cfRule>
    <cfRule type="expression" dxfId="54" priority="67">
      <formula>$R$11="SÁB"</formula>
    </cfRule>
  </conditionalFormatting>
  <conditionalFormatting sqref="S11:S117">
    <cfRule type="expression" dxfId="53" priority="64">
      <formula>$S$11="SÁB"</formula>
    </cfRule>
    <cfRule type="expression" dxfId="52" priority="63">
      <formula>$S$8="FR"</formula>
    </cfRule>
    <cfRule type="expression" dxfId="51" priority="65">
      <formula>$S$11="DOM"</formula>
    </cfRule>
  </conditionalFormatting>
  <conditionalFormatting sqref="T11:T117">
    <cfRule type="expression" dxfId="50" priority="62">
      <formula>$T$11="DOM"</formula>
    </cfRule>
    <cfRule type="expression" dxfId="49" priority="61">
      <formula>$T$11="SÁB"</formula>
    </cfRule>
    <cfRule type="expression" dxfId="48" priority="60">
      <formula>$T$8="FR"</formula>
    </cfRule>
  </conditionalFormatting>
  <conditionalFormatting sqref="U11:U117">
    <cfRule type="expression" dxfId="47" priority="59">
      <formula>$U$11="DOM"</formula>
    </cfRule>
    <cfRule type="expression" dxfId="46" priority="58">
      <formula>$U$11="SÁB"</formula>
    </cfRule>
    <cfRule type="expression" dxfId="45" priority="57">
      <formula>$U$8="FR"</formula>
    </cfRule>
  </conditionalFormatting>
  <conditionalFormatting sqref="V11:V117">
    <cfRule type="expression" dxfId="44" priority="55">
      <formula>$V$11="SÁB"</formula>
    </cfRule>
    <cfRule type="expression" dxfId="43" priority="54">
      <formula>$V$8="FR"</formula>
    </cfRule>
    <cfRule type="expression" dxfId="42" priority="56">
      <formula>$V$11="DOM"</formula>
    </cfRule>
  </conditionalFormatting>
  <conditionalFormatting sqref="W11:W117">
    <cfRule type="expression" dxfId="41" priority="51">
      <formula>$W$8="FR"</formula>
    </cfRule>
    <cfRule type="expression" dxfId="40" priority="52">
      <formula>$W$11="SÁB"</formula>
    </cfRule>
    <cfRule type="expression" dxfId="39" priority="53">
      <formula>$W$11="DOM"</formula>
    </cfRule>
  </conditionalFormatting>
  <conditionalFormatting sqref="X11:X117">
    <cfRule type="expression" dxfId="38" priority="48">
      <formula>$X$8="FR"</formula>
    </cfRule>
    <cfRule type="expression" dxfId="37" priority="49">
      <formula>$X$11="SÁB"</formula>
    </cfRule>
    <cfRule type="expression" dxfId="36" priority="50">
      <formula>$X$11="DOM"</formula>
    </cfRule>
  </conditionalFormatting>
  <conditionalFormatting sqref="Y11:Y117">
    <cfRule type="expression" dxfId="35" priority="45">
      <formula>$Y$8="FR"</formula>
    </cfRule>
    <cfRule type="expression" dxfId="34" priority="46">
      <formula>$Y$11="SÁB"</formula>
    </cfRule>
    <cfRule type="expression" dxfId="33" priority="47">
      <formula>$Y$11="DOM"</formula>
    </cfRule>
  </conditionalFormatting>
  <conditionalFormatting sqref="Z11:Z117">
    <cfRule type="expression" dxfId="32" priority="44">
      <formula>$Z$11="DOM"</formula>
    </cfRule>
    <cfRule type="expression" dxfId="31" priority="42">
      <formula>$Z$8="FR"</formula>
    </cfRule>
    <cfRule type="expression" dxfId="30" priority="43">
      <formula>$Z$11="SÁB"</formula>
    </cfRule>
  </conditionalFormatting>
  <conditionalFormatting sqref="AA11:AA117">
    <cfRule type="expression" dxfId="29" priority="40">
      <formula>$AA$11="SÁB"</formula>
    </cfRule>
    <cfRule type="expression" dxfId="28" priority="39">
      <formula>$AA$8="FR"</formula>
    </cfRule>
    <cfRule type="expression" dxfId="27" priority="41">
      <formula>$AA$11="DOM"</formula>
    </cfRule>
  </conditionalFormatting>
  <conditionalFormatting sqref="AB11:AB117">
    <cfRule type="expression" dxfId="26" priority="37">
      <formula>$AB$11="SÁB"</formula>
    </cfRule>
    <cfRule type="expression" dxfId="25" priority="36">
      <formula>$AB$8="FR"</formula>
    </cfRule>
    <cfRule type="expression" dxfId="24" priority="38">
      <formula>$AB$11="DOM"</formula>
    </cfRule>
  </conditionalFormatting>
  <conditionalFormatting sqref="AC11:AC117">
    <cfRule type="expression" dxfId="23" priority="35">
      <formula>$AC$11="DOM"</formula>
    </cfRule>
    <cfRule type="expression" dxfId="22" priority="34">
      <formula>$AC$11="SÁB"</formula>
    </cfRule>
    <cfRule type="expression" dxfId="21" priority="33">
      <formula>$AC$8="FR"</formula>
    </cfRule>
  </conditionalFormatting>
  <conditionalFormatting sqref="AD11:AD117">
    <cfRule type="expression" dxfId="20" priority="32">
      <formula>$AD$11="DOM"</formula>
    </cfRule>
    <cfRule type="expression" dxfId="19" priority="31">
      <formula>$AD$11="SÁB"</formula>
    </cfRule>
    <cfRule type="expression" dxfId="18" priority="30">
      <formula>$AD$8="FR"</formula>
    </cfRule>
  </conditionalFormatting>
  <conditionalFormatting sqref="AE11:AE117">
    <cfRule type="expression" dxfId="17" priority="27">
      <formula>$AE$8="FR"</formula>
    </cfRule>
    <cfRule type="expression" dxfId="16" priority="28">
      <formula>$AE$11="SÁB"</formula>
    </cfRule>
    <cfRule type="expression" dxfId="15" priority="29">
      <formula>$AE$11="DOM"</formula>
    </cfRule>
  </conditionalFormatting>
  <conditionalFormatting sqref="AF11:AF117">
    <cfRule type="expression" dxfId="14" priority="24">
      <formula>$AF$8="FR"</formula>
    </cfRule>
    <cfRule type="expression" dxfId="13" priority="25">
      <formula>$AF$11="SÁB"</formula>
    </cfRule>
    <cfRule type="expression" dxfId="12" priority="26">
      <formula>$AF$11="DOM"</formula>
    </cfRule>
  </conditionalFormatting>
  <conditionalFormatting sqref="AG11:AG117">
    <cfRule type="expression" dxfId="11" priority="21">
      <formula>$AG$8="FR"</formula>
    </cfRule>
    <cfRule type="expression" dxfId="10" priority="22">
      <formula>$AG$11="SÁB"</formula>
    </cfRule>
    <cfRule type="expression" dxfId="9" priority="23">
      <formula>$AG$11="DOM"</formula>
    </cfRule>
  </conditionalFormatting>
  <conditionalFormatting sqref="AH11:AH117">
    <cfRule type="expression" dxfId="8" priority="18">
      <formula>$AH$8="FR"</formula>
    </cfRule>
    <cfRule type="expression" dxfId="7" priority="20">
      <formula>$AH$11="DOM"</formula>
    </cfRule>
    <cfRule type="expression" dxfId="6" priority="19">
      <formula>$AH$11="SÁB"</formula>
    </cfRule>
  </conditionalFormatting>
  <conditionalFormatting sqref="AI11:AI117">
    <cfRule type="expression" dxfId="5" priority="17">
      <formula>$AI$11="DOM"</formula>
    </cfRule>
    <cfRule type="expression" dxfId="4" priority="16">
      <formula>$AI$11="SÁB"</formula>
    </cfRule>
    <cfRule type="expression" dxfId="3" priority="15">
      <formula>$AI$8="FR"</formula>
    </cfRule>
  </conditionalFormatting>
  <conditionalFormatting sqref="AJ11:AJ117">
    <cfRule type="expression" dxfId="2" priority="13">
      <formula>$AJ$11="SÁB"</formula>
    </cfRule>
    <cfRule type="expression" dxfId="1" priority="12">
      <formula>$AJ$8="FR"</formula>
    </cfRule>
    <cfRule type="expression" dxfId="0" priority="14">
      <formula>$AJ$11="DOM"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2025-10-14T20:53:43Z</dcterms:created>
  <dcterms:modified xsi:type="dcterms:W3CDTF">2026-01-02T12:25:23Z</dcterms:modified>
</cp:coreProperties>
</file>