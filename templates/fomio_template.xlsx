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. Martins\Desktop\"/>
    </mc:Choice>
  </mc:AlternateContent>
  <xr:revisionPtr revIDLastSave="0" documentId="13_ncr:1_{CE14333A-B7AC-4907-97C8-16782B5893E6}" xr6:coauthVersionLast="47" xr6:coauthVersionMax="47" xr10:uidLastSave="{00000000-0000-0000-0000-000000000000}"/>
  <bookViews>
    <workbookView xWindow="-120" yWindow="-120" windowWidth="29040" windowHeight="15720" xr2:uid="{F24CC36B-B49E-40ED-906B-853EB2E37C31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K14" i="1" l="1"/>
  <c r="F119" i="1"/>
  <c r="AK104" i="1"/>
  <c r="AK105" i="1"/>
  <c r="AK106" i="1"/>
  <c r="AK107" i="1"/>
  <c r="AK108" i="1"/>
  <c r="AK109" i="1"/>
  <c r="AK110" i="1"/>
  <c r="AK111" i="1"/>
  <c r="AK93" i="1"/>
  <c r="AK94" i="1"/>
  <c r="AK95" i="1"/>
  <c r="AK96" i="1"/>
  <c r="AK97" i="1"/>
  <c r="AK98" i="1"/>
  <c r="AK99" i="1"/>
  <c r="AK100" i="1"/>
  <c r="AK101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102" i="1"/>
  <c r="AK103" i="1"/>
  <c r="AK112" i="1"/>
  <c r="AK113" i="1"/>
  <c r="AK114" i="1"/>
  <c r="AK115" i="1"/>
  <c r="AK116" i="1"/>
  <c r="AK117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19" i="1"/>
  <c r="AK18" i="1"/>
  <c r="AK16" i="1"/>
  <c r="AK15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AL18" i="1" a="1"/>
  <c r="AL18" i="1" s="1"/>
</calcChain>
</file>

<file path=xl/sharedStrings.xml><?xml version="1.0" encoding="utf-8"?>
<sst xmlns="http://schemas.openxmlformats.org/spreadsheetml/2006/main" count="29" uniqueCount="29">
  <si>
    <t>FR</t>
  </si>
  <si>
    <t>ESCALA DE SERVIÇO</t>
  </si>
  <si>
    <t>NI</t>
  </si>
  <si>
    <t>Nome</t>
  </si>
  <si>
    <t>Catg.</t>
  </si>
  <si>
    <t>Total</t>
  </si>
  <si>
    <t>OFOPE</t>
  </si>
  <si>
    <t>CORPO ATIVO</t>
  </si>
  <si>
    <t>PD</t>
  </si>
  <si>
    <t>Piquete DIA</t>
  </si>
  <si>
    <t>PN</t>
  </si>
  <si>
    <t>Piquete NOITE</t>
  </si>
  <si>
    <t>PT</t>
  </si>
  <si>
    <t>Piquete 24H</t>
  </si>
  <si>
    <t>Formação</t>
  </si>
  <si>
    <t>FE</t>
  </si>
  <si>
    <t>FÉRIAS</t>
  </si>
  <si>
    <t>BX</t>
  </si>
  <si>
    <t>BAIXA</t>
  </si>
  <si>
    <t>O Comandante</t>
  </si>
  <si>
    <t>ED</t>
  </si>
  <si>
    <t>ECIN DIA</t>
  </si>
  <si>
    <t>EN</t>
  </si>
  <si>
    <t>ECIN NOITE</t>
  </si>
  <si>
    <t>ET</t>
  </si>
  <si>
    <t>ECIN 24H</t>
  </si>
  <si>
    <t>EP</t>
  </si>
  <si>
    <t>ECIN D/Piquete N</t>
  </si>
  <si>
    <t>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</si>
</sst>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"/>
  </numFmts>
  <fonts count="2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Calibri"/>
      <family val="2"/>
      <scheme val="minor"/>
    </font>
    <font>
      <b/>
      <sz val="10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name val="Calibri"/>
      <family val="2"/>
      <scheme val="minor"/>
    </font>
    <font>
      <sz val="11"/>
      <color theme="1"/>
      <name val="Aaux ProLight"/>
    </font>
    <font>
      <b/>
      <sz val="9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</fills>
  <borders count="6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34998626667073579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4659260841701"/>
      </top>
      <bottom/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499984740745262"/>
      </right>
      <top/>
      <bottom/>
      <diagonal/>
    </border>
    <border>
      <left style="thin">
        <color theme="1" tint="0.499984740745262"/>
      </left>
      <right style="thin">
        <color theme="0" tint="-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/>
      <right/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1" tint="0.499984740745262"/>
      </right>
      <top style="thin">
        <color theme="1" tint="0.499984740745262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499984740745262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1" tint="0.499984740745262"/>
      </right>
      <top style="thin">
        <color theme="0" tint="-0.24994659260841701"/>
      </top>
      <bottom/>
      <diagonal/>
    </border>
    <border>
      <left style="thin">
        <color theme="1" tint="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1" tint="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/>
      <diagonal/>
    </border>
    <border>
      <left style="thin">
        <color theme="0" tint="-0.499984740745262"/>
      </left>
      <right style="thin">
        <color theme="1" tint="0.499984740745262"/>
      </right>
      <top style="thin">
        <color theme="0" tint="-0.24994659260841701"/>
      </top>
      <bottom/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24994659260841701"/>
      </top>
      <bottom/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1" tint="0.499984740745262"/>
      </right>
      <top/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34998626667073579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1" tint="0.34998626667073579"/>
      </right>
      <top style="thin">
        <color theme="1" tint="0.499984740745262"/>
      </top>
      <bottom style="thin">
        <color theme="1" tint="0.34998626667073579"/>
      </bottom>
      <diagonal/>
    </border>
    <border>
      <left style="thin">
        <color theme="0" tint="-0.499984740745262"/>
      </left>
      <right style="thin">
        <color theme="1" tint="0.34998626667073579"/>
      </right>
      <top style="thin">
        <color theme="1" tint="0.34998626667073579"/>
      </top>
      <bottom style="thin">
        <color theme="0" tint="-0.499984740745262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0" tint="-0.499984740745262"/>
      </bottom>
      <diagonal/>
    </border>
    <border>
      <left style="thin">
        <color theme="1" tint="0.34998626667073579"/>
      </left>
      <right style="thin">
        <color theme="0" tint="-0.24994659260841701"/>
      </right>
      <top style="thin">
        <color theme="1" tint="0.34998626667073579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3" fillId="0" borderId="0" xfId="0" applyFont="1"/>
    <xf numFmtId="0" fontId="2" fillId="0" borderId="0" xfId="0" applyFont="1"/>
    <xf numFmtId="0" fontId="11" fillId="0" borderId="4" xfId="0" applyFont="1" applyBorder="1" applyAlignment="1" applyProtection="1">
      <alignment horizontal="center" vertical="center"/>
      <protection locked="0"/>
    </xf>
    <xf numFmtId="0" fontId="11" fillId="0" borderId="7" xfId="0" applyFont="1" applyBorder="1" applyAlignment="1" applyProtection="1">
      <alignment horizontal="center" vertical="center"/>
      <protection locked="0"/>
    </xf>
    <xf numFmtId="0" fontId="11" fillId="0" borderId="9" xfId="0" applyFont="1" applyBorder="1" applyAlignment="1" applyProtection="1">
      <alignment horizontal="center" vertical="center"/>
      <protection locked="0"/>
    </xf>
    <xf numFmtId="0" fontId="11" fillId="0" borderId="7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9" fillId="3" borderId="21" xfId="0" applyFont="1" applyFill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16" fillId="6" borderId="21" xfId="0" applyFont="1" applyFill="1" applyBorder="1" applyAlignment="1">
      <alignment horizontal="center" vertical="center"/>
    </xf>
    <xf numFmtId="0" fontId="9" fillId="7" borderId="21" xfId="0" applyFont="1" applyFill="1" applyBorder="1" applyAlignment="1">
      <alignment horizontal="center" vertical="center"/>
    </xf>
    <xf numFmtId="0" fontId="9" fillId="8" borderId="21" xfId="0" applyFont="1" applyFill="1" applyBorder="1" applyAlignment="1">
      <alignment horizontal="center" vertical="center"/>
    </xf>
    <xf numFmtId="0" fontId="17" fillId="0" borderId="0" xfId="0" applyFont="1"/>
    <xf numFmtId="0" fontId="15" fillId="0" borderId="0" xfId="0" applyFont="1"/>
    <xf numFmtId="0" fontId="12" fillId="0" borderId="37" xfId="0" applyFont="1" applyBorder="1" applyAlignment="1">
      <alignment horizontal="center" vertical="center"/>
    </xf>
    <xf numFmtId="0" fontId="12" fillId="0" borderId="40" xfId="0" applyFont="1" applyBorder="1" applyAlignment="1">
      <alignment horizontal="center" vertical="center"/>
    </xf>
    <xf numFmtId="0" fontId="11" fillId="0" borderId="45" xfId="0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/>
    </xf>
    <xf numFmtId="0" fontId="11" fillId="0" borderId="47" xfId="0" applyFont="1" applyBorder="1" applyAlignment="1">
      <alignment horizontal="center" vertical="center"/>
    </xf>
    <xf numFmtId="0" fontId="11" fillId="0" borderId="8" xfId="0" applyFont="1" applyBorder="1" applyAlignment="1" applyProtection="1">
      <alignment horizontal="center" vertical="center"/>
      <protection locked="0"/>
    </xf>
    <xf numFmtId="0" fontId="11" fillId="0" borderId="58" xfId="0" applyFont="1" applyBorder="1" applyAlignment="1" applyProtection="1">
      <alignment horizontal="center" vertical="center"/>
      <protection locked="0"/>
    </xf>
    <xf numFmtId="0" fontId="11" fillId="0" borderId="59" xfId="0" applyFont="1" applyBorder="1" applyAlignment="1" applyProtection="1">
      <alignment horizontal="center" vertical="center"/>
      <protection locked="0"/>
    </xf>
    <xf numFmtId="0" fontId="11" fillId="0" borderId="57" xfId="0" applyFont="1" applyBorder="1" applyAlignment="1" applyProtection="1">
      <alignment horizontal="center" vertical="center"/>
      <protection locked="0"/>
    </xf>
    <xf numFmtId="0" fontId="11" fillId="0" borderId="61" xfId="0" applyFont="1" applyBorder="1" applyAlignment="1" applyProtection="1">
      <alignment horizontal="center" vertical="center"/>
      <protection locked="0"/>
    </xf>
    <xf numFmtId="0" fontId="11" fillId="0" borderId="60" xfId="0" applyFont="1" applyBorder="1" applyAlignment="1" applyProtection="1">
      <alignment horizontal="center" vertical="center"/>
      <protection locked="0"/>
    </xf>
    <xf numFmtId="0" fontId="11" fillId="0" borderId="59" xfId="0" applyFont="1" applyBorder="1" applyProtection="1">
      <protection locked="0"/>
    </xf>
    <xf numFmtId="49" fontId="12" fillId="0" borderId="41" xfId="0" applyNumberFormat="1" applyFont="1" applyBorder="1" applyAlignment="1">
      <alignment horizontal="center" vertical="center"/>
    </xf>
    <xf numFmtId="0" fontId="12" fillId="0" borderId="14" xfId="0" applyFont="1" applyBorder="1" applyAlignment="1">
      <alignment horizontal="center"/>
    </xf>
    <xf numFmtId="0" fontId="11" fillId="0" borderId="15" xfId="0" applyFont="1" applyBorder="1" applyAlignment="1">
      <alignment horizontal="center" vertical="center"/>
    </xf>
    <xf numFmtId="49" fontId="12" fillId="0" borderId="42" xfId="0" applyNumberFormat="1" applyFont="1" applyBorder="1" applyAlignment="1">
      <alignment horizontal="center" vertical="center"/>
    </xf>
    <xf numFmtId="0" fontId="12" fillId="0" borderId="43" xfId="0" applyFont="1" applyBorder="1" applyAlignment="1">
      <alignment horizontal="center"/>
    </xf>
    <xf numFmtId="0" fontId="11" fillId="0" borderId="44" xfId="0" applyFont="1" applyBorder="1" applyAlignment="1">
      <alignment horizontal="center" vertical="center"/>
    </xf>
    <xf numFmtId="49" fontId="10" fillId="0" borderId="55" xfId="0" applyNumberFormat="1" applyFont="1" applyBorder="1" applyAlignment="1">
      <alignment horizontal="center" vertical="center"/>
    </xf>
    <xf numFmtId="0" fontId="10" fillId="0" borderId="55" xfId="0" applyFont="1" applyBorder="1" applyAlignment="1">
      <alignment horizontal="center"/>
    </xf>
    <xf numFmtId="0" fontId="14" fillId="0" borderId="55" xfId="0" applyFont="1" applyBorder="1" applyAlignment="1">
      <alignment horizontal="center" vertical="center"/>
    </xf>
    <xf numFmtId="0" fontId="11" fillId="0" borderId="55" xfId="0" applyFont="1" applyBorder="1" applyAlignment="1">
      <alignment horizontal="center" vertical="center"/>
    </xf>
    <xf numFmtId="0" fontId="12" fillId="0" borderId="55" xfId="0" applyFont="1" applyBorder="1" applyAlignment="1">
      <alignment horizontal="center" vertical="center"/>
    </xf>
    <xf numFmtId="49" fontId="0" fillId="0" borderId="36" xfId="0" applyNumberFormat="1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13" fillId="0" borderId="26" xfId="0" applyFont="1" applyBorder="1" applyAlignment="1">
      <alignment horizontal="center" vertical="center"/>
    </xf>
    <xf numFmtId="49" fontId="0" fillId="0" borderId="38" xfId="0" applyNumberForma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13" fillId="0" borderId="11" xfId="0" applyFon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13" fillId="0" borderId="13" xfId="0" applyFont="1" applyBorder="1" applyAlignment="1">
      <alignment horizontal="center" vertical="center"/>
    </xf>
    <xf numFmtId="49" fontId="0" fillId="0" borderId="41" xfId="0" applyNumberFormat="1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13" fillId="0" borderId="15" xfId="0" applyFont="1" applyBorder="1" applyAlignment="1">
      <alignment horizontal="center" vertical="center"/>
    </xf>
    <xf numFmtId="0" fontId="7" fillId="0" borderId="62" xfId="0" applyFont="1" applyBorder="1" applyAlignment="1">
      <alignment horizontal="center" vertical="center"/>
    </xf>
    <xf numFmtId="164" fontId="6" fillId="0" borderId="63" xfId="0" applyNumberFormat="1" applyFont="1" applyBorder="1" applyAlignment="1">
      <alignment horizontal="center" vertical="center"/>
    </xf>
    <xf numFmtId="164" fontId="6" fillId="0" borderId="64" xfId="0" applyNumberFormat="1" applyFont="1" applyBorder="1" applyAlignment="1">
      <alignment horizontal="center" vertical="center"/>
    </xf>
    <xf numFmtId="164" fontId="6" fillId="0" borderId="65" xfId="0" applyNumberFormat="1" applyFont="1" applyBorder="1" applyAlignment="1">
      <alignment horizontal="center" vertical="center"/>
    </xf>
    <xf numFmtId="0" fontId="6" fillId="11" borderId="21" xfId="0" applyFont="1" applyFill="1" applyBorder="1" applyAlignment="1">
      <alignment horizontal="center" vertical="center"/>
    </xf>
    <xf numFmtId="0" fontId="9" fillId="12" borderId="21" xfId="0" applyFont="1" applyFill="1" applyBorder="1" applyAlignment="1">
      <alignment horizontal="center" vertical="center"/>
    </xf>
    <xf numFmtId="0" fontId="9" fillId="13" borderId="21" xfId="0" applyFont="1" applyFill="1" applyBorder="1" applyAlignment="1">
      <alignment horizontal="center" vertical="center"/>
    </xf>
    <xf numFmtId="0" fontId="18" fillId="14" borderId="21" xfId="0" applyFont="1" applyFill="1" applyBorder="1" applyAlignment="1">
      <alignment horizontal="center" vertical="center"/>
    </xf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49" fontId="0" fillId="0" borderId="35" xfId="0" applyNumberForma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11" fillId="0" borderId="6" xfId="0" applyFont="1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49" fontId="6" fillId="6" borderId="33" xfId="0" applyNumberFormat="1" applyFont="1" applyFill="1" applyBorder="1" applyAlignment="1">
      <alignment horizontal="center" vertical="center"/>
    </xf>
    <xf numFmtId="49" fontId="6" fillId="6" borderId="3" xfId="0" applyNumberFormat="1" applyFont="1" applyFill="1" applyBorder="1" applyAlignment="1">
      <alignment horizontal="center" vertical="center"/>
    </xf>
    <xf numFmtId="49" fontId="6" fillId="6" borderId="34" xfId="0" applyNumberFormat="1" applyFont="1" applyFill="1" applyBorder="1" applyAlignment="1">
      <alignment horizontal="center" vertical="center"/>
    </xf>
    <xf numFmtId="49" fontId="6" fillId="6" borderId="56" xfId="0" applyNumberFormat="1" applyFont="1" applyFill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49" fontId="5" fillId="9" borderId="0" xfId="0" applyNumberFormat="1" applyFont="1" applyFill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textRotation="90"/>
    </xf>
    <xf numFmtId="0" fontId="8" fillId="2" borderId="32" xfId="0" applyFont="1" applyFill="1" applyBorder="1" applyAlignment="1">
      <alignment horizontal="center" vertical="center" textRotation="90"/>
    </xf>
  </cellXfs>
  <cellStyles count="1">
    <cellStyle name="Normal" xfId="0" builtinId="0"/>
  </cellStyles>
  <dxfs count="1840"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0" tint="-0.34998626667073579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theme="8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IndexEscPiqFin!A1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74500</xdr:rowOff>
    </xdr:from>
    <xdr:to>
      <xdr:col>1</xdr:col>
      <xdr:colOff>0</xdr:colOff>
      <xdr:row>4</xdr:row>
      <xdr:rowOff>38100</xdr:rowOff>
    </xdr:to>
    <xdr:pic>
      <xdr:nvPicPr>
        <xdr:cNvPr id="2" name="LogCtrl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196059B-8DCA-44F7-A45A-4C2BBAECB98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74500"/>
          <a:ext cx="0" cy="725600"/>
        </a:xfrm>
        <a:prstGeom prst="rect">
          <a:avLst/>
        </a:prstGeom>
      </xdr:spPr>
    </xdr:pic>
    <xdr:clientData/>
  </xdr:twoCellAnchor>
  <xdr:twoCellAnchor editAs="oneCell">
    <xdr:from>
      <xdr:col>0</xdr:col>
      <xdr:colOff>77391</xdr:colOff>
      <xdr:row>0</xdr:row>
      <xdr:rowOff>83344</xdr:rowOff>
    </xdr:from>
    <xdr:to>
      <xdr:col>11</xdr:col>
      <xdr:colOff>77390</xdr:colOff>
      <xdr:row>4</xdr:row>
      <xdr:rowOff>55488</xdr:rowOff>
    </xdr:to>
    <xdr:pic>
      <xdr:nvPicPr>
        <xdr:cNvPr id="3" name="LogCtrl01">
          <a:extLst>
            <a:ext uri="{FF2B5EF4-FFF2-40B4-BE49-F238E27FC236}">
              <a16:creationId xmlns:a16="http://schemas.microsoft.com/office/drawing/2014/main" id="{4691DA5A-294B-41D2-9D1F-FA0BD0ACA3C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1" y="83344"/>
          <a:ext cx="3417093" cy="734144"/>
        </a:xfrm>
        <a:prstGeom prst="rect">
          <a:avLst/>
        </a:prstGeom>
      </xdr:spPr>
    </xdr:pic>
    <xdr:clientData/>
  </xdr:twoCellAnchor>
  <xdr:twoCellAnchor editAs="oneCell">
    <xdr:from>
      <xdr:col>33</xdr:col>
      <xdr:colOff>0</xdr:colOff>
      <xdr:row>0</xdr:row>
      <xdr:rowOff>0</xdr:rowOff>
    </xdr:from>
    <xdr:to>
      <xdr:col>36</xdr:col>
      <xdr:colOff>184254</xdr:colOff>
      <xdr:row>4</xdr:row>
      <xdr:rowOff>77386</xdr:rowOff>
    </xdr:to>
    <xdr:pic>
      <xdr:nvPicPr>
        <xdr:cNvPr id="4" name="Picture 2">
          <a:extLst>
            <a:ext uri="{FF2B5EF4-FFF2-40B4-BE49-F238E27FC236}">
              <a16:creationId xmlns:a16="http://schemas.microsoft.com/office/drawing/2014/main" id="{182A208E-8E85-4F39-906B-1EBE70D33E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262938" y="0"/>
          <a:ext cx="845050" cy="8393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8F345-7C56-4784-9FD4-3DA609409DA1}">
  <dimension ref="A1:AL130"/>
  <sheetViews>
    <sheetView showGridLines="0" tabSelected="1" zoomScale="160" zoomScaleNormal="160" workbookViewId="0">
      <selection activeCell="AJ11" sqref="AJ11"/>
    </sheetView>
  </sheetViews>
  <sheetFormatPr defaultColWidth="0" defaultRowHeight="15" zeroHeight="1"/>
  <cols>
    <col min="1" max="1" width="1.42578125" customWidth="1"/>
    <col min="2" max="2" width="0" hidden="1" customWidth="1"/>
    <col min="3" max="3" width="5" customWidth="1"/>
    <col min="4" max="4" width="20" customWidth="1"/>
    <col min="5" max="5" width="5" customWidth="1"/>
    <col min="6" max="37" width="3.28515625" customWidth="1"/>
    <col min="38" max="38" width="1.42578125" customWidth="1"/>
    <col min="39" max="16384" width="9.140625" hidden="1"/>
  </cols>
  <sheetData>
    <row r="1" spans="3:37"/>
    <row r="2" spans="3:37"/>
    <row r="3" spans="3:37">
      <c r="AB3" s="1"/>
    </row>
    <row r="4" spans="3:37">
      <c r="AJ4" s="2" t="s">
        <v>0</v>
      </c>
    </row>
    <row r="5" spans="3:37"/>
    <row r="6" spans="3:37">
      <c r="C6" s="95" t="s">
        <v>1</v>
      </c>
      <c r="D6" s="95"/>
      <c r="E6" s="95"/>
      <c r="F6" s="95"/>
      <c r="G6" s="95"/>
      <c r="H6" s="95"/>
      <c r="I6" s="95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  <c r="AD6" s="95"/>
      <c r="AE6" s="95"/>
      <c r="AF6" s="95"/>
      <c r="AG6" s="95"/>
      <c r="AH6" s="95"/>
      <c r="AI6" s="95"/>
      <c r="AJ6" s="95"/>
      <c r="AK6" s="95"/>
    </row>
    <row r="7" spans="3:37">
      <c r="C7" s="95"/>
      <c r="D7" s="95"/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  <c r="AD7" s="95"/>
      <c r="AE7" s="95"/>
      <c r="AF7" s="95"/>
      <c r="AG7" s="95"/>
      <c r="AH7" s="95"/>
      <c r="AI7" s="95"/>
      <c r="AJ7" s="95"/>
      <c r="AK7" s="95"/>
    </row>
    <row r="8" spans="3:37" s="69" customFormat="1" ht="3.75" customHeight="1"/>
    <row r="9" spans="3:37" ht="18.75">
      <c r="C9" s="96"/>
      <c r="D9" s="96"/>
      <c r="E9" s="96"/>
      <c r="F9" s="96"/>
      <c r="G9" s="96"/>
      <c r="H9" s="96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  <c r="AD9" s="96"/>
      <c r="AE9" s="96"/>
      <c r="AF9" s="96"/>
      <c r="AG9" s="96"/>
      <c r="AH9" s="96"/>
      <c r="AI9" s="96"/>
      <c r="AJ9" s="96"/>
      <c r="AK9" s="96"/>
    </row>
    <row r="10" spans="3:37" ht="3.75" customHeight="1">
      <c r="F10" s="70"/>
    </row>
    <row r="11" spans="3:37">
      <c r="C11" s="97" t="s">
        <v>2</v>
      </c>
      <c r="D11" s="99" t="s">
        <v>3</v>
      </c>
      <c r="E11" s="101" t="s">
        <v>4</v>
      </c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103" t="s">
        <v>5</v>
      </c>
    </row>
    <row r="12" spans="3:37">
      <c r="C12" s="98"/>
      <c r="D12" s="100"/>
      <c r="E12" s="102"/>
      <c r="F12" s="62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4"/>
      <c r="AK12" s="104"/>
    </row>
    <row r="13" spans="3:37">
      <c r="C13" s="84" t="s">
        <v>6</v>
      </c>
      <c r="D13" s="85"/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  <c r="AD13" s="85"/>
      <c r="AE13" s="85"/>
      <c r="AF13" s="85"/>
      <c r="AG13" s="85"/>
      <c r="AH13" s="85"/>
      <c r="AI13" s="85"/>
      <c r="AJ13" s="85"/>
      <c r="AK13" s="86"/>
    </row>
    <row r="14" spans="3:37" ht="13.5" customHeight="1">
      <c r="C14" s="72"/>
      <c r="D14" s="73"/>
      <c r="E14" s="74"/>
      <c r="F14" s="4"/>
      <c r="G14" s="3"/>
      <c r="H14" s="3"/>
      <c r="I14" s="31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5"/>
      <c r="AK14" s="26">
        <f>COUNTIF(F14:AJ14,"N")</f>
        <v>0</v>
      </c>
    </row>
    <row r="15" spans="3:37" ht="13.5" customHeight="1">
      <c r="C15" s="49"/>
      <c r="D15" s="50"/>
      <c r="E15" s="51"/>
      <c r="F15" s="35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2"/>
      <c r="AK15" s="26">
        <f>COUNTIF(F15:AJ15,"N")</f>
        <v>0</v>
      </c>
    </row>
    <row r="16" spans="3:37" ht="13.5" customHeight="1">
      <c r="C16" s="52"/>
      <c r="D16" s="53"/>
      <c r="E16" s="54"/>
      <c r="F16" s="36"/>
      <c r="G16" s="33"/>
      <c r="H16" s="33"/>
      <c r="I16" s="37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4"/>
      <c r="AK16" s="26">
        <f>COUNTIF(F16:AJ16,"N")</f>
        <v>0</v>
      </c>
    </row>
    <row r="17" spans="3:38">
      <c r="C17" s="84" t="s">
        <v>7</v>
      </c>
      <c r="D17" s="85"/>
      <c r="E17" s="85"/>
      <c r="F17" s="85"/>
      <c r="G17" s="85"/>
      <c r="H17" s="87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  <c r="AA17" s="87"/>
      <c r="AB17" s="87"/>
      <c r="AC17" s="87"/>
      <c r="AD17" s="87"/>
      <c r="AE17" s="87"/>
      <c r="AF17" s="87"/>
      <c r="AG17" s="87"/>
      <c r="AH17" s="87"/>
      <c r="AI17" s="87"/>
      <c r="AJ17" s="87"/>
      <c r="AK17" s="86"/>
    </row>
    <row r="18" spans="3:38" ht="13.5" customHeight="1">
      <c r="C18" s="55"/>
      <c r="D18" s="56"/>
      <c r="E18" s="57"/>
      <c r="F18" s="6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8"/>
      <c r="AK18" s="27">
        <f>COUNTIF(F18:AJ18,"PD")+COUNTIF(F18:AJ18,"PN")+COUNTIF(F18:AJ18,"PT")*2+COUNTIF(F18:AJ18,"EP")</f>
        <v>0</v>
      </c>
      <c r="AL18" t="b">
        <f t="array" ref="AL18">IF(F18:AJ18=0,F18:AJ18="","")</f>
        <v>1</v>
      </c>
    </row>
    <row r="19" spans="3:38" ht="13.5" customHeight="1">
      <c r="C19" s="58"/>
      <c r="D19" s="59"/>
      <c r="E19" s="60"/>
      <c r="F19" s="9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1"/>
      <c r="AK19" s="27">
        <f>COUNTIF(F19:AJ19,"PD")+COUNTIF(F19:AJ19,"PN")+COUNTIF(F19:AJ19,"PT")*2+COUNTIF(F19:AJ19,"EP")</f>
        <v>0</v>
      </c>
    </row>
    <row r="20" spans="3:38" ht="13.5" customHeight="1">
      <c r="C20" s="58"/>
      <c r="D20" s="59"/>
      <c r="E20" s="60"/>
      <c r="F20" s="9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1"/>
      <c r="AK20" s="27">
        <f t="shared" ref="AK20:AK83" si="0">COUNTIF(F20:AJ20,"PD")+COUNTIF(F20:AJ20,"PN")+COUNTIF(F20:AJ20,"PT")*2+COUNTIF(F20:AJ20,"EP")</f>
        <v>0</v>
      </c>
    </row>
    <row r="21" spans="3:38" ht="13.5" customHeight="1">
      <c r="C21" s="58"/>
      <c r="D21" s="59"/>
      <c r="E21" s="60"/>
      <c r="F21" s="9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1"/>
      <c r="AK21" s="27">
        <f t="shared" si="0"/>
        <v>0</v>
      </c>
    </row>
    <row r="22" spans="3:38" ht="13.5" customHeight="1">
      <c r="C22" s="58"/>
      <c r="D22" s="59"/>
      <c r="E22" s="60"/>
      <c r="F22" s="9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1"/>
      <c r="AK22" s="27">
        <f t="shared" si="0"/>
        <v>0</v>
      </c>
    </row>
    <row r="23" spans="3:38" ht="13.5" customHeight="1">
      <c r="C23" s="58"/>
      <c r="D23" s="59"/>
      <c r="E23" s="60"/>
      <c r="F23" s="9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1"/>
      <c r="AK23" s="27">
        <f t="shared" si="0"/>
        <v>0</v>
      </c>
    </row>
    <row r="24" spans="3:38" ht="13.5" customHeight="1">
      <c r="C24" s="58"/>
      <c r="D24" s="59"/>
      <c r="E24" s="60"/>
      <c r="F24" s="9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1"/>
      <c r="AK24" s="27">
        <f t="shared" si="0"/>
        <v>0</v>
      </c>
    </row>
    <row r="25" spans="3:38" ht="13.5" customHeight="1">
      <c r="C25" s="58"/>
      <c r="D25" s="59"/>
      <c r="E25" s="60"/>
      <c r="F25" s="9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1"/>
      <c r="AK25" s="27">
        <f t="shared" si="0"/>
        <v>0</v>
      </c>
    </row>
    <row r="26" spans="3:38" ht="13.5" customHeight="1">
      <c r="C26" s="58"/>
      <c r="D26" s="59"/>
      <c r="E26" s="60"/>
      <c r="F26" s="9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1"/>
      <c r="AK26" s="27">
        <f t="shared" si="0"/>
        <v>0</v>
      </c>
    </row>
    <row r="27" spans="3:38" ht="13.5" customHeight="1">
      <c r="C27" s="58"/>
      <c r="D27" s="59"/>
      <c r="E27" s="60"/>
      <c r="F27" s="9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1"/>
      <c r="AK27" s="27">
        <f t="shared" si="0"/>
        <v>0</v>
      </c>
    </row>
    <row r="28" spans="3:38" ht="13.5" customHeight="1">
      <c r="C28" s="58"/>
      <c r="D28" s="59"/>
      <c r="E28" s="60"/>
      <c r="F28" s="9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1"/>
      <c r="AK28" s="27">
        <f t="shared" si="0"/>
        <v>0</v>
      </c>
    </row>
    <row r="29" spans="3:38" ht="13.5" customHeight="1">
      <c r="C29" s="58"/>
      <c r="D29" s="59"/>
      <c r="E29" s="60"/>
      <c r="F29" s="9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1"/>
      <c r="AK29" s="27">
        <f t="shared" si="0"/>
        <v>0</v>
      </c>
    </row>
    <row r="30" spans="3:38" ht="13.5" customHeight="1">
      <c r="C30" s="58"/>
      <c r="D30" s="59"/>
      <c r="E30" s="60"/>
      <c r="F30" s="9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1"/>
      <c r="AK30" s="27">
        <f t="shared" si="0"/>
        <v>0</v>
      </c>
    </row>
    <row r="31" spans="3:38" ht="13.5" customHeight="1">
      <c r="C31" s="58"/>
      <c r="D31" s="59"/>
      <c r="E31" s="60"/>
      <c r="F31" s="9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1"/>
      <c r="AK31" s="27">
        <f t="shared" si="0"/>
        <v>0</v>
      </c>
    </row>
    <row r="32" spans="3:38" ht="13.5" customHeight="1">
      <c r="C32" s="58"/>
      <c r="D32" s="59"/>
      <c r="E32" s="60"/>
      <c r="F32" s="9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1"/>
      <c r="AK32" s="27">
        <f t="shared" si="0"/>
        <v>0</v>
      </c>
    </row>
    <row r="33" spans="3:37" ht="13.5" customHeight="1">
      <c r="C33" s="58"/>
      <c r="D33" s="59"/>
      <c r="E33" s="60"/>
      <c r="F33" s="9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1"/>
      <c r="AK33" s="27">
        <f t="shared" si="0"/>
        <v>0</v>
      </c>
    </row>
    <row r="34" spans="3:37" ht="13.5" customHeight="1">
      <c r="C34" s="58"/>
      <c r="D34" s="59"/>
      <c r="E34" s="60"/>
      <c r="F34" s="9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1"/>
      <c r="AK34" s="27">
        <f t="shared" si="0"/>
        <v>0</v>
      </c>
    </row>
    <row r="35" spans="3:37" ht="13.5" customHeight="1">
      <c r="C35" s="58"/>
      <c r="D35" s="59"/>
      <c r="E35" s="60"/>
      <c r="F35" s="9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1"/>
      <c r="AK35" s="27">
        <f t="shared" si="0"/>
        <v>0</v>
      </c>
    </row>
    <row r="36" spans="3:37" ht="13.5" customHeight="1">
      <c r="C36" s="58"/>
      <c r="D36" s="59"/>
      <c r="E36" s="60"/>
      <c r="F36" s="9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1"/>
      <c r="AK36" s="27">
        <f t="shared" si="0"/>
        <v>0</v>
      </c>
    </row>
    <row r="37" spans="3:37" ht="13.5" customHeight="1">
      <c r="C37" s="58"/>
      <c r="D37" s="59"/>
      <c r="E37" s="60"/>
      <c r="F37" s="9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1"/>
      <c r="AK37" s="27">
        <f t="shared" si="0"/>
        <v>0</v>
      </c>
    </row>
    <row r="38" spans="3:37" ht="13.5" customHeight="1">
      <c r="C38" s="58"/>
      <c r="D38" s="59"/>
      <c r="E38" s="60"/>
      <c r="F38" s="9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1"/>
      <c r="AK38" s="27">
        <f t="shared" si="0"/>
        <v>0</v>
      </c>
    </row>
    <row r="39" spans="3:37" ht="13.5" customHeight="1">
      <c r="C39" s="58"/>
      <c r="D39" s="59"/>
      <c r="E39" s="60"/>
      <c r="F39" s="9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1"/>
      <c r="AK39" s="27">
        <f t="shared" si="0"/>
        <v>0</v>
      </c>
    </row>
    <row r="40" spans="3:37" ht="13.5" customHeight="1">
      <c r="C40" s="58"/>
      <c r="D40" s="59"/>
      <c r="E40" s="60"/>
      <c r="F40" s="9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1"/>
      <c r="AK40" s="27">
        <f t="shared" si="0"/>
        <v>0</v>
      </c>
    </row>
    <row r="41" spans="3:37" ht="13.5" customHeight="1">
      <c r="C41" s="58"/>
      <c r="D41" s="59"/>
      <c r="E41" s="60"/>
      <c r="F41" s="9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1"/>
      <c r="AK41" s="27">
        <f t="shared" si="0"/>
        <v>0</v>
      </c>
    </row>
    <row r="42" spans="3:37" ht="13.5" customHeight="1">
      <c r="C42" s="58"/>
      <c r="D42" s="59"/>
      <c r="E42" s="60"/>
      <c r="F42" s="9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1"/>
      <c r="AK42" s="27">
        <f t="shared" si="0"/>
        <v>0</v>
      </c>
    </row>
    <row r="43" spans="3:37" ht="13.5" customHeight="1">
      <c r="C43" s="58"/>
      <c r="D43" s="59"/>
      <c r="E43" s="60"/>
      <c r="F43" s="9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1"/>
      <c r="AK43" s="27">
        <f t="shared" si="0"/>
        <v>0</v>
      </c>
    </row>
    <row r="44" spans="3:37" ht="13.5" customHeight="1">
      <c r="C44" s="58"/>
      <c r="D44" s="59"/>
      <c r="E44" s="60"/>
      <c r="F44" s="9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1"/>
      <c r="AK44" s="27">
        <f t="shared" si="0"/>
        <v>0</v>
      </c>
    </row>
    <row r="45" spans="3:37" ht="13.5" customHeight="1">
      <c r="C45" s="58"/>
      <c r="D45" s="59"/>
      <c r="E45" s="60"/>
      <c r="F45" s="9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1"/>
      <c r="AK45" s="27">
        <f t="shared" si="0"/>
        <v>0</v>
      </c>
    </row>
    <row r="46" spans="3:37" ht="13.5" customHeight="1">
      <c r="C46" s="58"/>
      <c r="D46" s="59"/>
      <c r="E46" s="60"/>
      <c r="F46" s="9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1"/>
      <c r="AK46" s="27">
        <f t="shared" si="0"/>
        <v>0</v>
      </c>
    </row>
    <row r="47" spans="3:37" ht="13.5" customHeight="1">
      <c r="C47" s="58"/>
      <c r="D47" s="59"/>
      <c r="E47" s="60"/>
      <c r="F47" s="9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1"/>
      <c r="AK47" s="27">
        <f t="shared" si="0"/>
        <v>0</v>
      </c>
    </row>
    <row r="48" spans="3:37" ht="13.5" customHeight="1">
      <c r="C48" s="58"/>
      <c r="D48" s="59"/>
      <c r="E48" s="60"/>
      <c r="F48" s="9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1"/>
      <c r="AK48" s="27">
        <f t="shared" si="0"/>
        <v>0</v>
      </c>
    </row>
    <row r="49" spans="3:37" ht="13.5" customHeight="1">
      <c r="C49" s="58"/>
      <c r="D49" s="59"/>
      <c r="E49" s="60"/>
      <c r="F49" s="9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1"/>
      <c r="AK49" s="27">
        <f t="shared" si="0"/>
        <v>0</v>
      </c>
    </row>
    <row r="50" spans="3:37" ht="13.5" customHeight="1">
      <c r="C50" s="58"/>
      <c r="D50" s="59"/>
      <c r="E50" s="60"/>
      <c r="F50" s="9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1"/>
      <c r="AK50" s="27">
        <f t="shared" si="0"/>
        <v>0</v>
      </c>
    </row>
    <row r="51" spans="3:37" ht="13.5" customHeight="1">
      <c r="C51" s="58"/>
      <c r="D51" s="59"/>
      <c r="E51" s="60"/>
      <c r="F51" s="9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1"/>
      <c r="AK51" s="27">
        <f t="shared" si="0"/>
        <v>0</v>
      </c>
    </row>
    <row r="52" spans="3:37" ht="13.5" customHeight="1">
      <c r="C52" s="58"/>
      <c r="D52" s="59"/>
      <c r="E52" s="60"/>
      <c r="F52" s="9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1"/>
      <c r="AK52" s="27">
        <f t="shared" si="0"/>
        <v>0</v>
      </c>
    </row>
    <row r="53" spans="3:37" ht="13.5" customHeight="1">
      <c r="C53" s="58"/>
      <c r="D53" s="59"/>
      <c r="E53" s="60"/>
      <c r="F53" s="9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1"/>
      <c r="AK53" s="27">
        <f t="shared" si="0"/>
        <v>0</v>
      </c>
    </row>
    <row r="54" spans="3:37" ht="13.5" customHeight="1">
      <c r="C54" s="58"/>
      <c r="D54" s="59"/>
      <c r="E54" s="60"/>
      <c r="F54" s="9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1"/>
      <c r="AK54" s="27">
        <f t="shared" si="0"/>
        <v>0</v>
      </c>
    </row>
    <row r="55" spans="3:37" ht="13.5" customHeight="1">
      <c r="C55" s="58"/>
      <c r="D55" s="59"/>
      <c r="E55" s="60"/>
      <c r="F55" s="9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1"/>
      <c r="AK55" s="27">
        <f t="shared" si="0"/>
        <v>0</v>
      </c>
    </row>
    <row r="56" spans="3:37" ht="13.5" customHeight="1">
      <c r="C56" s="58"/>
      <c r="D56" s="59"/>
      <c r="E56" s="60"/>
      <c r="F56" s="9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1"/>
      <c r="AK56" s="27">
        <f t="shared" si="0"/>
        <v>0</v>
      </c>
    </row>
    <row r="57" spans="3:37" ht="13.5" customHeight="1">
      <c r="C57" s="58"/>
      <c r="D57" s="59"/>
      <c r="E57" s="60"/>
      <c r="F57" s="9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1"/>
      <c r="AK57" s="27">
        <f t="shared" si="0"/>
        <v>0</v>
      </c>
    </row>
    <row r="58" spans="3:37" ht="13.5" customHeight="1">
      <c r="C58" s="58"/>
      <c r="D58" s="59"/>
      <c r="E58" s="60"/>
      <c r="F58" s="9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1"/>
      <c r="AK58" s="27">
        <f t="shared" si="0"/>
        <v>0</v>
      </c>
    </row>
    <row r="59" spans="3:37" ht="13.5" customHeight="1">
      <c r="C59" s="58"/>
      <c r="D59" s="59"/>
      <c r="E59" s="60"/>
      <c r="F59" s="9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1"/>
      <c r="AK59" s="27">
        <f t="shared" si="0"/>
        <v>0</v>
      </c>
    </row>
    <row r="60" spans="3:37" ht="13.5" customHeight="1">
      <c r="C60" s="58"/>
      <c r="D60" s="59"/>
      <c r="E60" s="60"/>
      <c r="F60" s="9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1"/>
      <c r="AK60" s="27">
        <f t="shared" si="0"/>
        <v>0</v>
      </c>
    </row>
    <row r="61" spans="3:37" ht="13.5" customHeight="1">
      <c r="C61" s="58"/>
      <c r="D61" s="59"/>
      <c r="E61" s="60"/>
      <c r="F61" s="9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1"/>
      <c r="AK61" s="27">
        <f t="shared" si="0"/>
        <v>0</v>
      </c>
    </row>
    <row r="62" spans="3:37" ht="13.5" customHeight="1">
      <c r="C62" s="58"/>
      <c r="D62" s="59"/>
      <c r="E62" s="60"/>
      <c r="F62" s="9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1"/>
      <c r="AK62" s="27">
        <f t="shared" si="0"/>
        <v>0</v>
      </c>
    </row>
    <row r="63" spans="3:37" ht="13.5" customHeight="1">
      <c r="C63" s="58"/>
      <c r="D63" s="59"/>
      <c r="E63" s="60"/>
      <c r="F63" s="9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1"/>
      <c r="AK63" s="27">
        <f t="shared" si="0"/>
        <v>0</v>
      </c>
    </row>
    <row r="64" spans="3:37" ht="13.5" customHeight="1">
      <c r="C64" s="58"/>
      <c r="D64" s="59"/>
      <c r="E64" s="60"/>
      <c r="F64" s="9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1"/>
      <c r="AK64" s="27">
        <f t="shared" si="0"/>
        <v>0</v>
      </c>
    </row>
    <row r="65" spans="3:37" ht="13.5" customHeight="1">
      <c r="C65" s="58"/>
      <c r="D65" s="59"/>
      <c r="E65" s="60"/>
      <c r="F65" s="9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1"/>
      <c r="AK65" s="27">
        <f t="shared" si="0"/>
        <v>0</v>
      </c>
    </row>
    <row r="66" spans="3:37" ht="13.5" customHeight="1">
      <c r="C66" s="58"/>
      <c r="D66" s="59"/>
      <c r="E66" s="60"/>
      <c r="F66" s="9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1"/>
      <c r="AK66" s="27">
        <f t="shared" si="0"/>
        <v>0</v>
      </c>
    </row>
    <row r="67" spans="3:37" ht="13.5" customHeight="1">
      <c r="C67" s="58"/>
      <c r="D67" s="59"/>
      <c r="E67" s="60"/>
      <c r="F67" s="9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1"/>
      <c r="AK67" s="27">
        <f t="shared" si="0"/>
        <v>0</v>
      </c>
    </row>
    <row r="68" spans="3:37" ht="13.5" customHeight="1">
      <c r="C68" s="58"/>
      <c r="D68" s="59"/>
      <c r="E68" s="60"/>
      <c r="F68" s="9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1"/>
      <c r="AK68" s="27">
        <f t="shared" si="0"/>
        <v>0</v>
      </c>
    </row>
    <row r="69" spans="3:37" ht="13.5" customHeight="1">
      <c r="C69" s="58"/>
      <c r="D69" s="59"/>
      <c r="E69" s="60"/>
      <c r="F69" s="9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1"/>
      <c r="AK69" s="27">
        <f t="shared" si="0"/>
        <v>0</v>
      </c>
    </row>
    <row r="70" spans="3:37" ht="13.5" customHeight="1">
      <c r="C70" s="58"/>
      <c r="D70" s="59"/>
      <c r="E70" s="60"/>
      <c r="F70" s="9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1"/>
      <c r="AK70" s="27">
        <f t="shared" si="0"/>
        <v>0</v>
      </c>
    </row>
    <row r="71" spans="3:37" ht="13.5" customHeight="1">
      <c r="C71" s="58"/>
      <c r="D71" s="59"/>
      <c r="E71" s="60"/>
      <c r="F71" s="9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1"/>
      <c r="AK71" s="27">
        <f t="shared" si="0"/>
        <v>0</v>
      </c>
    </row>
    <row r="72" spans="3:37" ht="13.5" customHeight="1">
      <c r="C72" s="58"/>
      <c r="D72" s="59"/>
      <c r="E72" s="60"/>
      <c r="F72" s="9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1"/>
      <c r="AK72" s="27">
        <f t="shared" si="0"/>
        <v>0</v>
      </c>
    </row>
    <row r="73" spans="3:37" ht="13.5" customHeight="1">
      <c r="C73" s="58"/>
      <c r="D73" s="39"/>
      <c r="E73" s="40"/>
      <c r="F73" s="9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1"/>
      <c r="AK73" s="27">
        <f t="shared" si="0"/>
        <v>0</v>
      </c>
    </row>
    <row r="74" spans="3:37" ht="13.5" customHeight="1">
      <c r="C74" s="58"/>
      <c r="D74" s="39"/>
      <c r="E74" s="40"/>
      <c r="F74" s="9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1"/>
      <c r="AK74" s="27">
        <f t="shared" si="0"/>
        <v>0</v>
      </c>
    </row>
    <row r="75" spans="3:37" ht="13.5" customHeight="1">
      <c r="C75" s="38"/>
      <c r="D75" s="39"/>
      <c r="E75" s="40"/>
      <c r="F75" s="9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1"/>
      <c r="AK75" s="27">
        <f t="shared" si="0"/>
        <v>0</v>
      </c>
    </row>
    <row r="76" spans="3:37" ht="13.5" customHeight="1">
      <c r="C76" s="38"/>
      <c r="D76" s="39"/>
      <c r="E76" s="40"/>
      <c r="F76" s="9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1"/>
      <c r="AK76" s="27">
        <f t="shared" si="0"/>
        <v>0</v>
      </c>
    </row>
    <row r="77" spans="3:37" ht="13.5" customHeight="1">
      <c r="C77" s="38"/>
      <c r="D77" s="39"/>
      <c r="E77" s="40"/>
      <c r="F77" s="9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1"/>
      <c r="AK77" s="27">
        <f t="shared" si="0"/>
        <v>0</v>
      </c>
    </row>
    <row r="78" spans="3:37" ht="13.5" customHeight="1">
      <c r="C78" s="38"/>
      <c r="D78" s="39"/>
      <c r="E78" s="40"/>
      <c r="F78" s="9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1"/>
      <c r="AK78" s="27">
        <f t="shared" si="0"/>
        <v>0</v>
      </c>
    </row>
    <row r="79" spans="3:37" ht="13.5" customHeight="1">
      <c r="C79" s="38"/>
      <c r="D79" s="39"/>
      <c r="E79" s="40"/>
      <c r="F79" s="9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1"/>
      <c r="AK79" s="27">
        <f t="shared" si="0"/>
        <v>0</v>
      </c>
    </row>
    <row r="80" spans="3:37" ht="13.5" customHeight="1">
      <c r="C80" s="38"/>
      <c r="D80" s="39"/>
      <c r="E80" s="40"/>
      <c r="F80" s="9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1"/>
      <c r="AK80" s="27">
        <f t="shared" si="0"/>
        <v>0</v>
      </c>
    </row>
    <row r="81" spans="3:37" ht="13.5" customHeight="1">
      <c r="C81" s="38"/>
      <c r="D81" s="39"/>
      <c r="E81" s="40"/>
      <c r="F81" s="9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1"/>
      <c r="AK81" s="27">
        <f t="shared" si="0"/>
        <v>0</v>
      </c>
    </row>
    <row r="82" spans="3:37" ht="13.5" customHeight="1">
      <c r="C82" s="38"/>
      <c r="D82" s="39"/>
      <c r="E82" s="40"/>
      <c r="F82" s="9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1"/>
      <c r="AK82" s="27">
        <f t="shared" si="0"/>
        <v>0</v>
      </c>
    </row>
    <row r="83" spans="3:37" ht="13.5" customHeight="1">
      <c r="C83" s="38"/>
      <c r="D83" s="39"/>
      <c r="E83" s="40"/>
      <c r="F83" s="9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1"/>
      <c r="AK83" s="27">
        <f t="shared" si="0"/>
        <v>0</v>
      </c>
    </row>
    <row r="84" spans="3:37" ht="13.5" customHeight="1">
      <c r="C84" s="38"/>
      <c r="D84" s="39"/>
      <c r="E84" s="40"/>
      <c r="F84" s="9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1"/>
      <c r="AK84" s="27">
        <f t="shared" ref="AK84:AK117" si="1">COUNTIF(F84:AJ84,"PD")+COUNTIF(F84:AJ84,"PN")+COUNTIF(F84:AJ84,"PT")*2+COUNTIF(F84:AJ84,"EP")</f>
        <v>0</v>
      </c>
    </row>
    <row r="85" spans="3:37" ht="13.5" customHeight="1">
      <c r="C85" s="38"/>
      <c r="D85" s="39"/>
      <c r="E85" s="40"/>
      <c r="F85" s="9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1"/>
      <c r="AK85" s="27">
        <f t="shared" si="1"/>
        <v>0</v>
      </c>
    </row>
    <row r="86" spans="3:37" ht="13.5" customHeight="1">
      <c r="C86" s="38"/>
      <c r="D86" s="39"/>
      <c r="E86" s="40"/>
      <c r="F86" s="9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1"/>
      <c r="AK86" s="27">
        <f t="shared" si="1"/>
        <v>0</v>
      </c>
    </row>
    <row r="87" spans="3:37" ht="13.5" customHeight="1">
      <c r="C87" s="38"/>
      <c r="D87" s="39"/>
      <c r="E87" s="40"/>
      <c r="F87" s="9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1"/>
      <c r="AK87" s="27">
        <f t="shared" si="1"/>
        <v>0</v>
      </c>
    </row>
    <row r="88" spans="3:37" ht="13.5" customHeight="1">
      <c r="C88" s="38"/>
      <c r="D88" s="39"/>
      <c r="E88" s="40"/>
      <c r="F88" s="9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1"/>
      <c r="AK88" s="27">
        <f t="shared" si="1"/>
        <v>0</v>
      </c>
    </row>
    <row r="89" spans="3:37" ht="13.5" customHeight="1">
      <c r="C89" s="38"/>
      <c r="D89" s="39"/>
      <c r="E89" s="40"/>
      <c r="F89" s="9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1"/>
      <c r="AK89" s="27">
        <f t="shared" si="1"/>
        <v>0</v>
      </c>
    </row>
    <row r="90" spans="3:37" ht="13.5" customHeight="1">
      <c r="C90" s="38"/>
      <c r="D90" s="39"/>
      <c r="E90" s="40"/>
      <c r="F90" s="9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1"/>
      <c r="AK90" s="27">
        <f t="shared" si="1"/>
        <v>0</v>
      </c>
    </row>
    <row r="91" spans="3:37" ht="13.5" customHeight="1">
      <c r="C91" s="38"/>
      <c r="D91" s="39"/>
      <c r="E91" s="40"/>
      <c r="F91" s="9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1"/>
      <c r="AK91" s="27">
        <f t="shared" si="1"/>
        <v>0</v>
      </c>
    </row>
    <row r="92" spans="3:37" ht="13.5" customHeight="1">
      <c r="C92" s="38"/>
      <c r="D92" s="39"/>
      <c r="E92" s="40"/>
      <c r="F92" s="9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1"/>
      <c r="AK92" s="27">
        <f t="shared" si="1"/>
        <v>0</v>
      </c>
    </row>
    <row r="93" spans="3:37" ht="13.5" customHeight="1">
      <c r="C93" s="38"/>
      <c r="D93" s="39"/>
      <c r="E93" s="40"/>
      <c r="F93" s="9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1"/>
      <c r="AK93" s="27">
        <f t="shared" si="1"/>
        <v>0</v>
      </c>
    </row>
    <row r="94" spans="3:37" ht="13.5" customHeight="1">
      <c r="C94" s="38"/>
      <c r="D94" s="39"/>
      <c r="E94" s="40"/>
      <c r="F94" s="9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1"/>
      <c r="AK94" s="27">
        <f t="shared" si="1"/>
        <v>0</v>
      </c>
    </row>
    <row r="95" spans="3:37" ht="13.5" customHeight="1">
      <c r="C95" s="38"/>
      <c r="D95" s="39"/>
      <c r="E95" s="40"/>
      <c r="F95" s="9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1"/>
      <c r="AK95" s="27">
        <f t="shared" si="1"/>
        <v>0</v>
      </c>
    </row>
    <row r="96" spans="3:37" ht="13.5" customHeight="1">
      <c r="C96" s="38"/>
      <c r="D96" s="39"/>
      <c r="E96" s="40"/>
      <c r="F96" s="9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1"/>
      <c r="AK96" s="27">
        <f t="shared" si="1"/>
        <v>0</v>
      </c>
    </row>
    <row r="97" spans="3:37" ht="13.5" customHeight="1">
      <c r="C97" s="38"/>
      <c r="D97" s="39"/>
      <c r="E97" s="40"/>
      <c r="F97" s="9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1"/>
      <c r="AK97" s="27">
        <f t="shared" si="1"/>
        <v>0</v>
      </c>
    </row>
    <row r="98" spans="3:37" ht="13.5" customHeight="1">
      <c r="C98" s="38"/>
      <c r="D98" s="39"/>
      <c r="E98" s="40"/>
      <c r="F98" s="9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1"/>
      <c r="AK98" s="27">
        <f t="shared" si="1"/>
        <v>0</v>
      </c>
    </row>
    <row r="99" spans="3:37" ht="13.5" customHeight="1">
      <c r="C99" s="38"/>
      <c r="D99" s="39"/>
      <c r="E99" s="40"/>
      <c r="F99" s="9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1"/>
      <c r="AK99" s="27">
        <f t="shared" si="1"/>
        <v>0</v>
      </c>
    </row>
    <row r="100" spans="3:37" ht="13.5" customHeight="1">
      <c r="C100" s="38"/>
      <c r="D100" s="39"/>
      <c r="E100" s="40"/>
      <c r="F100" s="9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1"/>
      <c r="AK100" s="27">
        <f t="shared" si="1"/>
        <v>0</v>
      </c>
    </row>
    <row r="101" spans="3:37" ht="13.5" customHeight="1">
      <c r="C101" s="38"/>
      <c r="D101" s="39"/>
      <c r="E101" s="40"/>
      <c r="F101" s="9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1"/>
      <c r="AK101" s="27">
        <f t="shared" si="1"/>
        <v>0</v>
      </c>
    </row>
    <row r="102" spans="3:37" ht="13.5" customHeight="1">
      <c r="C102" s="38"/>
      <c r="D102" s="39"/>
      <c r="E102" s="40"/>
      <c r="F102" s="9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1"/>
      <c r="AK102" s="27">
        <f t="shared" si="1"/>
        <v>0</v>
      </c>
    </row>
    <row r="103" spans="3:37" ht="13.5" customHeight="1">
      <c r="C103" s="38"/>
      <c r="D103" s="39"/>
      <c r="E103" s="40"/>
      <c r="F103" s="9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1"/>
      <c r="AK103" s="27">
        <f t="shared" si="1"/>
        <v>0</v>
      </c>
    </row>
    <row r="104" spans="3:37" ht="13.5" customHeight="1">
      <c r="C104" s="38"/>
      <c r="D104" s="39"/>
      <c r="E104" s="40"/>
      <c r="F104" s="9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1"/>
      <c r="AK104" s="27">
        <f t="shared" si="1"/>
        <v>0</v>
      </c>
    </row>
    <row r="105" spans="3:37" ht="13.5" customHeight="1">
      <c r="C105" s="38"/>
      <c r="D105" s="39"/>
      <c r="E105" s="40"/>
      <c r="F105" s="9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1"/>
      <c r="AK105" s="27">
        <f t="shared" si="1"/>
        <v>0</v>
      </c>
    </row>
    <row r="106" spans="3:37" ht="13.5" customHeight="1">
      <c r="C106" s="38"/>
      <c r="D106" s="39"/>
      <c r="E106" s="40"/>
      <c r="F106" s="9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1"/>
      <c r="AK106" s="27">
        <f t="shared" si="1"/>
        <v>0</v>
      </c>
    </row>
    <row r="107" spans="3:37" ht="13.5" customHeight="1">
      <c r="C107" s="38"/>
      <c r="D107" s="39"/>
      <c r="E107" s="40"/>
      <c r="F107" s="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1"/>
      <c r="AK107" s="27">
        <f t="shared" si="1"/>
        <v>0</v>
      </c>
    </row>
    <row r="108" spans="3:37" ht="13.5" customHeight="1">
      <c r="C108" s="38"/>
      <c r="D108" s="39"/>
      <c r="E108" s="40"/>
      <c r="F108" s="9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1"/>
      <c r="AK108" s="27">
        <f t="shared" si="1"/>
        <v>0</v>
      </c>
    </row>
    <row r="109" spans="3:37" ht="13.5" customHeight="1">
      <c r="C109" s="38"/>
      <c r="D109" s="39"/>
      <c r="E109" s="40"/>
      <c r="F109" s="9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1"/>
      <c r="AK109" s="27">
        <f t="shared" si="1"/>
        <v>0</v>
      </c>
    </row>
    <row r="110" spans="3:37" ht="13.5" customHeight="1">
      <c r="C110" s="38"/>
      <c r="D110" s="39"/>
      <c r="E110" s="40"/>
      <c r="F110" s="9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1"/>
      <c r="AK110" s="27">
        <f t="shared" si="1"/>
        <v>0</v>
      </c>
    </row>
    <row r="111" spans="3:37" ht="13.5" customHeight="1">
      <c r="C111" s="38"/>
      <c r="D111" s="39"/>
      <c r="E111" s="40"/>
      <c r="F111" s="9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1"/>
      <c r="AK111" s="27">
        <f t="shared" si="1"/>
        <v>0</v>
      </c>
    </row>
    <row r="112" spans="3:37" ht="13.5" customHeight="1">
      <c r="C112" s="38"/>
      <c r="D112" s="39"/>
      <c r="E112" s="40"/>
      <c r="F112" s="9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1"/>
      <c r="AK112" s="27">
        <f t="shared" si="1"/>
        <v>0</v>
      </c>
    </row>
    <row r="113" spans="3:37" ht="13.5" customHeight="1">
      <c r="C113" s="38"/>
      <c r="D113" s="39"/>
      <c r="E113" s="40"/>
      <c r="F113" s="9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1"/>
      <c r="AK113" s="27">
        <f t="shared" si="1"/>
        <v>0</v>
      </c>
    </row>
    <row r="114" spans="3:37" ht="13.5" customHeight="1">
      <c r="C114" s="38"/>
      <c r="D114" s="39"/>
      <c r="E114" s="40"/>
      <c r="F114" s="9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1"/>
      <c r="AK114" s="27">
        <f t="shared" si="1"/>
        <v>0</v>
      </c>
    </row>
    <row r="115" spans="3:37" ht="13.5" customHeight="1">
      <c r="C115" s="38"/>
      <c r="D115" s="39"/>
      <c r="E115" s="40"/>
      <c r="F115" s="9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1"/>
      <c r="AK115" s="27">
        <f t="shared" si="1"/>
        <v>0</v>
      </c>
    </row>
    <row r="116" spans="3:37" ht="13.5" customHeight="1">
      <c r="C116" s="38"/>
      <c r="D116" s="39"/>
      <c r="E116" s="40"/>
      <c r="F116" s="9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1"/>
      <c r="AK116" s="27">
        <f t="shared" si="1"/>
        <v>0</v>
      </c>
    </row>
    <row r="117" spans="3:37" ht="13.5" customHeight="1">
      <c r="C117" s="41"/>
      <c r="D117" s="42"/>
      <c r="E117" s="43"/>
      <c r="F117" s="28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30"/>
      <c r="AK117" s="27">
        <f t="shared" si="1"/>
        <v>0</v>
      </c>
    </row>
    <row r="118" spans="3:37" ht="3.75" customHeight="1">
      <c r="C118" s="44"/>
      <c r="D118" s="45"/>
      <c r="E118" s="46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8"/>
    </row>
    <row r="119" spans="3:37">
      <c r="E119" s="13"/>
      <c r="F119" s="14">
        <f>COUNTIFS(F18:F117,"PD")+COUNTIFS(F18:F117,"PN")+COUNTIFS(F18:F117,"PT")+COUNTIFS(F18:F117,"EP")</f>
        <v>0</v>
      </c>
      <c r="G119" s="15">
        <f>COUNTIFS(G18:G117,"PD")+COUNTIFS(G18:G117,"PN")+COUNTIFS(G18:G117,"PT")*2+COUNTIFS(G18:G117,"EP")</f>
        <v>0</v>
      </c>
      <c r="H119" s="15">
        <f t="shared" ref="H119:AI119" si="2">COUNTIFS(H18:H117,"PD")+COUNTIFS(H18:H117,"PN")+COUNTIFS(H18:H117,"PT")*2+COUNTIFS(H18:H117,"EP")</f>
        <v>0</v>
      </c>
      <c r="I119" s="15">
        <f t="shared" si="2"/>
        <v>0</v>
      </c>
      <c r="J119" s="15">
        <f t="shared" si="2"/>
        <v>0</v>
      </c>
      <c r="K119" s="15">
        <f t="shared" si="2"/>
        <v>0</v>
      </c>
      <c r="L119" s="15">
        <f t="shared" si="2"/>
        <v>0</v>
      </c>
      <c r="M119" s="15">
        <f t="shared" si="2"/>
        <v>0</v>
      </c>
      <c r="N119" s="15">
        <f t="shared" si="2"/>
        <v>0</v>
      </c>
      <c r="O119" s="15">
        <f t="shared" si="2"/>
        <v>0</v>
      </c>
      <c r="P119" s="15">
        <f t="shared" si="2"/>
        <v>0</v>
      </c>
      <c r="Q119" s="15">
        <f t="shared" si="2"/>
        <v>0</v>
      </c>
      <c r="R119" s="15">
        <f t="shared" si="2"/>
        <v>0</v>
      </c>
      <c r="S119" s="15">
        <f t="shared" si="2"/>
        <v>0</v>
      </c>
      <c r="T119" s="15">
        <f t="shared" si="2"/>
        <v>0</v>
      </c>
      <c r="U119" s="15">
        <f t="shared" si="2"/>
        <v>0</v>
      </c>
      <c r="V119" s="15">
        <f t="shared" si="2"/>
        <v>0</v>
      </c>
      <c r="W119" s="15">
        <f t="shared" si="2"/>
        <v>0</v>
      </c>
      <c r="X119" s="15">
        <f t="shared" si="2"/>
        <v>0</v>
      </c>
      <c r="Y119" s="15">
        <f t="shared" si="2"/>
        <v>0</v>
      </c>
      <c r="Z119" s="15">
        <f t="shared" si="2"/>
        <v>0</v>
      </c>
      <c r="AA119" s="15">
        <f t="shared" si="2"/>
        <v>0</v>
      </c>
      <c r="AB119" s="15">
        <f t="shared" si="2"/>
        <v>0</v>
      </c>
      <c r="AC119" s="15">
        <f t="shared" si="2"/>
        <v>0</v>
      </c>
      <c r="AD119" s="15">
        <f t="shared" si="2"/>
        <v>0</v>
      </c>
      <c r="AE119" s="15">
        <f t="shared" si="2"/>
        <v>0</v>
      </c>
      <c r="AF119" s="15">
        <f t="shared" si="2"/>
        <v>0</v>
      </c>
      <c r="AG119" s="15">
        <f t="shared" si="2"/>
        <v>0</v>
      </c>
      <c r="AH119" s="15">
        <f t="shared" si="2"/>
        <v>0</v>
      </c>
      <c r="AI119" s="15">
        <f t="shared" si="2"/>
        <v>0</v>
      </c>
      <c r="AJ119" s="16">
        <f>COUNTIFS(AJ18:AJ117,"PD")+COUNTIFS(AJ18:AJ117,"PN")+COUNTIFS(AJ18:AJ117,"PT")*2+COUNTIFS(AJ18:AJ117,"EP")</f>
        <v>0</v>
      </c>
      <c r="AK119" s="17"/>
    </row>
    <row r="120" spans="3:37" ht="3.75" customHeight="1">
      <c r="E120" s="13"/>
    </row>
    <row r="121" spans="3:37">
      <c r="E121" s="13"/>
      <c r="F121" s="18" t="s">
        <v>8</v>
      </c>
      <c r="G121" s="88" t="s">
        <v>9</v>
      </c>
      <c r="H121" s="88"/>
      <c r="I121" s="88"/>
      <c r="J121" s="88"/>
      <c r="K121" s="12"/>
      <c r="L121" s="19" t="s">
        <v>10</v>
      </c>
      <c r="M121" s="89" t="s">
        <v>11</v>
      </c>
      <c r="N121" s="90"/>
      <c r="O121" s="90"/>
      <c r="P121" s="91"/>
      <c r="Q121" s="12"/>
      <c r="R121" s="20" t="s">
        <v>12</v>
      </c>
      <c r="S121" s="89" t="s">
        <v>13</v>
      </c>
      <c r="T121" s="90"/>
      <c r="U121" s="90"/>
      <c r="V121" s="91"/>
      <c r="X121" s="21" t="s">
        <v>28</v>
      </c>
      <c r="Y121" s="89" t="s">
        <v>14</v>
      </c>
      <c r="Z121" s="90"/>
      <c r="AA121" s="90"/>
      <c r="AB121" s="91"/>
      <c r="AC121" s="12"/>
      <c r="AD121" s="22" t="s">
        <v>15</v>
      </c>
      <c r="AE121" s="89" t="s">
        <v>16</v>
      </c>
      <c r="AF121" s="90"/>
      <c r="AG121" s="90"/>
      <c r="AH121" s="91"/>
    </row>
    <row r="122" spans="3:37" ht="3.75" customHeight="1">
      <c r="E122" s="13"/>
    </row>
    <row r="123" spans="3:37">
      <c r="E123" s="13"/>
      <c r="F123" s="23" t="s">
        <v>17</v>
      </c>
      <c r="G123" s="88" t="s">
        <v>18</v>
      </c>
      <c r="H123" s="88"/>
      <c r="I123" s="88"/>
      <c r="J123" s="88"/>
      <c r="L123" s="65" t="s">
        <v>20</v>
      </c>
      <c r="M123" s="88" t="s">
        <v>21</v>
      </c>
      <c r="N123" s="88"/>
      <c r="O123" s="88"/>
      <c r="P123" s="88"/>
      <c r="R123" s="66" t="s">
        <v>22</v>
      </c>
      <c r="S123" s="89" t="s">
        <v>23</v>
      </c>
      <c r="T123" s="90"/>
      <c r="U123" s="90"/>
      <c r="V123" s="91"/>
      <c r="W123" s="12"/>
      <c r="X123" s="67" t="s">
        <v>24</v>
      </c>
      <c r="Y123" s="89" t="s">
        <v>25</v>
      </c>
      <c r="Z123" s="90"/>
      <c r="AA123" s="90"/>
      <c r="AB123" s="91"/>
      <c r="AD123" s="68" t="s">
        <v>26</v>
      </c>
      <c r="AE123" s="92" t="s">
        <v>27</v>
      </c>
      <c r="AF123" s="93"/>
      <c r="AG123" s="93"/>
      <c r="AH123" s="94"/>
    </row>
    <row r="124" spans="3:37">
      <c r="E124" s="13"/>
    </row>
    <row r="125" spans="3:37">
      <c r="D125" s="71"/>
      <c r="E125" s="71"/>
      <c r="F125" s="71"/>
      <c r="G125" s="71"/>
      <c r="H125" s="71"/>
      <c r="I125" s="71"/>
      <c r="J125" s="71"/>
      <c r="K125" s="71"/>
      <c r="L125" s="71"/>
      <c r="M125" s="75" t="s">
        <v>19</v>
      </c>
      <c r="N125" s="76"/>
      <c r="O125" s="76"/>
      <c r="P125" s="76"/>
      <c r="Q125" s="76"/>
      <c r="R125" s="76"/>
      <c r="S125" s="76"/>
      <c r="T125" s="76"/>
      <c r="U125" s="77"/>
      <c r="V125" s="71"/>
      <c r="W125" s="71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</row>
    <row r="126" spans="3:37">
      <c r="D126" s="71"/>
      <c r="E126" s="71"/>
      <c r="F126" s="71"/>
      <c r="G126" s="71"/>
      <c r="H126" s="71"/>
      <c r="I126" s="71"/>
      <c r="J126" s="71"/>
      <c r="K126" s="71"/>
      <c r="L126" s="71"/>
      <c r="M126" s="78"/>
      <c r="N126" s="79"/>
      <c r="O126" s="79"/>
      <c r="P126" s="79"/>
      <c r="Q126" s="79"/>
      <c r="R126" s="79"/>
      <c r="S126" s="79"/>
      <c r="T126" s="79"/>
      <c r="U126" s="80"/>
      <c r="V126" s="71"/>
      <c r="W126" s="71"/>
      <c r="X126" s="71"/>
      <c r="Y126" s="71"/>
      <c r="Z126" s="71"/>
      <c r="AA126" s="71"/>
      <c r="AB126" s="71"/>
      <c r="AC126" s="71"/>
      <c r="AD126" s="71"/>
      <c r="AE126" s="71"/>
      <c r="AF126" s="71"/>
      <c r="AG126" s="71"/>
    </row>
    <row r="127" spans="3:37">
      <c r="D127" s="71"/>
      <c r="E127" s="71"/>
      <c r="F127" s="71"/>
      <c r="G127" s="71"/>
      <c r="H127" s="71"/>
      <c r="I127" s="71"/>
      <c r="J127" s="71"/>
      <c r="K127" s="71"/>
      <c r="L127" s="71"/>
      <c r="M127" s="78"/>
      <c r="N127" s="79"/>
      <c r="O127" s="79"/>
      <c r="P127" s="79"/>
      <c r="Q127" s="79"/>
      <c r="R127" s="79"/>
      <c r="S127" s="79"/>
      <c r="T127" s="79"/>
      <c r="U127" s="80"/>
      <c r="V127" s="71"/>
      <c r="W127" s="71"/>
      <c r="X127" s="71"/>
      <c r="Y127" s="71"/>
      <c r="Z127" s="71"/>
      <c r="AA127" s="71"/>
      <c r="AB127" s="71"/>
      <c r="AC127" s="71"/>
      <c r="AD127" s="71"/>
      <c r="AE127" s="71"/>
      <c r="AF127" s="71"/>
      <c r="AG127" s="71"/>
    </row>
    <row r="128" spans="3:37">
      <c r="D128" s="71"/>
      <c r="E128" s="71"/>
      <c r="F128" s="71"/>
      <c r="G128" s="71"/>
      <c r="H128" s="71"/>
      <c r="I128" s="71"/>
      <c r="J128" s="71"/>
      <c r="K128" s="71"/>
      <c r="L128" s="71"/>
      <c r="M128" s="78"/>
      <c r="N128" s="79"/>
      <c r="O128" s="79"/>
      <c r="P128" s="79"/>
      <c r="Q128" s="79"/>
      <c r="R128" s="79"/>
      <c r="S128" s="79"/>
      <c r="T128" s="79"/>
      <c r="U128" s="80"/>
      <c r="V128" s="71"/>
      <c r="W128" s="71"/>
      <c r="X128" s="71"/>
      <c r="Y128" s="71"/>
      <c r="Z128" s="71"/>
      <c r="AA128" s="71"/>
      <c r="AB128" s="71"/>
      <c r="AC128" s="71"/>
      <c r="AD128" s="71"/>
      <c r="AE128" s="71"/>
      <c r="AF128" s="71"/>
      <c r="AG128" s="71"/>
    </row>
    <row r="129" spans="3:37">
      <c r="C129" s="24"/>
      <c r="D129" s="71"/>
      <c r="E129" s="71"/>
      <c r="F129" s="71"/>
      <c r="G129" s="71"/>
      <c r="H129" s="71"/>
      <c r="I129" s="71"/>
      <c r="J129" s="71"/>
      <c r="K129" s="71"/>
      <c r="L129" s="71"/>
      <c r="M129" s="81"/>
      <c r="N129" s="82"/>
      <c r="O129" s="82"/>
      <c r="P129" s="82"/>
      <c r="Q129" s="82"/>
      <c r="R129" s="82"/>
      <c r="S129" s="82"/>
      <c r="T129" s="82"/>
      <c r="U129" s="83"/>
      <c r="V129" s="71"/>
      <c r="W129" s="71"/>
      <c r="X129" s="71"/>
      <c r="Y129" s="71"/>
      <c r="Z129" s="71"/>
      <c r="AA129" s="71"/>
      <c r="AB129" s="71"/>
      <c r="AC129" s="71"/>
      <c r="AD129" s="71"/>
      <c r="AE129" s="71"/>
      <c r="AF129" s="71"/>
      <c r="AG129" s="71"/>
      <c r="AH129" s="25"/>
      <c r="AI129" s="25"/>
      <c r="AJ129" s="25"/>
      <c r="AK129" s="25"/>
    </row>
    <row r="130" spans="3:37">
      <c r="E130" s="13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</row>
  </sheetData>
  <mergeCells count="20">
    <mergeCell ref="C6:AK7"/>
    <mergeCell ref="C9:AK9"/>
    <mergeCell ref="C11:C12"/>
    <mergeCell ref="D11:D12"/>
    <mergeCell ref="E11:E12"/>
    <mergeCell ref="AK11:AK12"/>
    <mergeCell ref="M125:U125"/>
    <mergeCell ref="M126:U129"/>
    <mergeCell ref="C13:AK13"/>
    <mergeCell ref="C17:AK17"/>
    <mergeCell ref="G121:J121"/>
    <mergeCell ref="M121:P121"/>
    <mergeCell ref="S121:V121"/>
    <mergeCell ref="Y121:AB121"/>
    <mergeCell ref="AE121:AH121"/>
    <mergeCell ref="G123:J123"/>
    <mergeCell ref="M123:P123"/>
    <mergeCell ref="S123:V123"/>
    <mergeCell ref="Y123:AB123"/>
    <mergeCell ref="AE123:AH123"/>
  </mergeCells>
  <phoneticPr fontId="7" type="noConversion"/>
  <conditionalFormatting sqref="F14:AJ16">
    <cfRule type="cellIs" dxfId="24" priority="5" operator="equal">
      <formula>"N"</formula>
    </cfRule>
  </conditionalFormatting>
  <conditionalFormatting sqref="F18:AJ117">
    <cfRule type="cellIs" dxfId="23" priority="2" operator="equal">
      <formula>"ET"</formula>
    </cfRule>
    <cfRule type="cellIs" dxfId="22" priority="3" operator="equal">
      <formula>"EN"</formula>
    </cfRule>
    <cfRule type="cellIs" dxfId="21" priority="4" operator="equal">
      <formula>"ED"</formula>
    </cfRule>
    <cfRule type="cellIs" dxfId="20" priority="6" operator="equal">
      <formula>"PN"</formula>
    </cfRule>
    <cfRule type="cellIs" dxfId="19" priority="7" operator="equal">
      <formula>"PD"</formula>
    </cfRule>
    <cfRule type="cellIs" dxfId="18" priority="8" operator="equal">
      <formula>"PT"</formula>
    </cfRule>
    <cfRule type="cellIs" dxfId="17" priority="9" operator="equal">
      <formula>"FO"</formula>
    </cfRule>
    <cfRule type="cellIs" dxfId="16" priority="10" operator="equal">
      <formula>"FE"</formula>
    </cfRule>
    <cfRule type="cellIs" dxfId="15" priority="11" operator="equal">
      <formula>"BX"</formula>
    </cfRule>
    <cfRule type="cellIs" dxfId="14" priority="1" operator="equal">
      <formula>"EP"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F. Martins</dc:creator>
  <cp:lastModifiedBy>F. Martins</cp:lastModifiedBy>
  <dcterms:created xsi:type="dcterms:W3CDTF">2025-10-14T20:53:43Z</dcterms:created>
  <dcterms:modified xsi:type="dcterms:W3CDTF">2026-03-11T14:11:20Z</dcterms:modified>
</cp:coreProperties>
</file>