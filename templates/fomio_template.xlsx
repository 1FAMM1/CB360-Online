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13_ncr:1_{ECF967A0-369B-4B27-8E29-BDE25C5D5FC3}" xr6:coauthVersionLast="47" xr6:coauthVersionMax="47" xr10:uidLastSave="{00000000-0000-0000-0000-000000000000}"/>
  <bookViews>
    <workbookView xWindow="-120" yWindow="-120" windowWidth="29040" windowHeight="1584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D8" i="1"/>
  <c r="T8" i="1"/>
  <c r="J8" i="1"/>
  <c r="O8" i="1"/>
  <c r="M8" i="1"/>
  <c r="F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<sst xmlns="http://schemas.openxmlformats.org/spreadsheetml/2006/main" count="29" uniqueCount="29">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</sst>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49" fontId="0" fillId="0" borderId="3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822">
    <dxf>
      <font>
        <b/>
        <i val="0"/>
        <color theme="0"/>
      </font>
      <fill>
        <patternFill>
          <bgColor theme="9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</dxfs>
  <tableStyles count="0" defaultTableStyle="TableStyleMedium2" defaultPivotStyle="PivotStyleLight16"/>
  <colors>
    <mruColors>
      <color rgb="FF90EE90"/>
      <color rgb="FFFFC0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tabSelected="1" topLeftCell="A11" zoomScale="160" zoomScaleNormal="160" workbookViewId="0">
      <selection activeCell="F16" sqref="F16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94" t="s">
        <v>1</v>
      </c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</row>
    <row r="7" spans="3:37"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</row>
    <row r="8" spans="3:37" s="68" customFormat="1" ht="3.75" customHeight="1">
      <c r="F8" s="68" t="str">
        <f ca="1">IF(OR(C9="Janeiro"&amp;" "&amp;YEAR(NOW()),C9="Maio"&amp;" "&amp;YEAR(NOW()),C9="Novembro"&amp;" "&amp;YEAR(NOW()),C9="Dezembro"&amp;" "&amp;YEAR(NOW())),"FR","")</f>
        <v/>
      </c>
      <c r="J8" s="68" t="str">
        <f ca="1">IF(OR(C9="Outubro"&amp;" "&amp;YEAR(NOW())),"FR","")</f>
        <v/>
      </c>
      <c r="M8" s="68" t="str">
        <f ca="1">IF(OR(C9="Dezembro"&amp;" "&amp;YEAR(NOW())),"FR","")</f>
        <v/>
      </c>
      <c r="O8" s="68" t="str">
        <f ca="1">IF(OR(C9="Junho"&amp;" "&amp;YEAR(NOW())),"FR","")</f>
        <v/>
      </c>
      <c r="T8" s="68" t="str">
        <f ca="1">IF(OR(C9="Agosto"&amp;" "&amp;YEAR(NOW())),"FR","")</f>
        <v/>
      </c>
      <c r="AD8" s="68" t="str">
        <f ca="1">IF(OR(C9="Abril"&amp;" "&amp;YEAR(NOW()),C9="Dezembro"&amp;" "&amp;YEAR(NOW())),"FR","")</f>
        <v/>
      </c>
    </row>
    <row r="9" spans="3:37" ht="18.75"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</row>
    <row r="10" spans="3:37" ht="3.75" customHeight="1">
      <c r="F10" s="69"/>
    </row>
    <row r="11" spans="3:37">
      <c r="C11" s="96" t="s">
        <v>2</v>
      </c>
      <c r="D11" s="98" t="s">
        <v>3</v>
      </c>
      <c r="E11" s="100" t="s">
        <v>4</v>
      </c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102" t="s">
        <v>5</v>
      </c>
    </row>
    <row r="12" spans="3:37">
      <c r="C12" s="97"/>
      <c r="D12" s="99"/>
      <c r="E12" s="101"/>
      <c r="F12" s="61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3"/>
      <c r="AK12" s="103"/>
    </row>
    <row r="13" spans="3:37">
      <c r="C13" s="83" t="s">
        <v>6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5"/>
    </row>
    <row r="14" spans="3:37" ht="13.5" customHeight="1">
      <c r="C14" s="71"/>
      <c r="D14" s="72"/>
      <c r="E14" s="73"/>
      <c r="F14" s="4"/>
      <c r="G14" s="3"/>
      <c r="H14" s="3"/>
      <c r="I14" s="3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5"/>
      <c r="AK14" s="26">
        <f>COUNTIF(F14:AJ14,"N")</f>
        <v>0</v>
      </c>
    </row>
    <row r="15" spans="3:37" ht="13.5" customHeight="1">
      <c r="C15" s="48"/>
      <c r="D15" s="49"/>
      <c r="E15" s="50"/>
      <c r="F15" s="35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2"/>
      <c r="AK15" s="26">
        <f>COUNTIF(F15:AJ15,"N")</f>
        <v>0</v>
      </c>
    </row>
    <row r="16" spans="3:37" ht="13.5" customHeight="1">
      <c r="C16" s="51"/>
      <c r="D16" s="52"/>
      <c r="E16" s="53"/>
      <c r="F16" s="36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4"/>
      <c r="AK16" s="26">
        <f>COUNTIF(F16:AJ16,"N")</f>
        <v>0</v>
      </c>
    </row>
    <row r="17" spans="3:38">
      <c r="C17" s="83" t="s">
        <v>7</v>
      </c>
      <c r="D17" s="84"/>
      <c r="E17" s="84"/>
      <c r="F17" s="84"/>
      <c r="G17" s="84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5"/>
    </row>
    <row r="18" spans="3:38" ht="13.5" customHeight="1">
      <c r="C18" s="54"/>
      <c r="D18" s="55"/>
      <c r="E18" s="56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8"/>
      <c r="AK18" s="27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 ht="13.5" customHeight="1">
      <c r="C19" s="57"/>
      <c r="D19" s="58"/>
      <c r="E19" s="59"/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1"/>
      <c r="AK19" s="27">
        <f>COUNTIF(F19:AJ19,"PD")+COUNTIF(F19:AJ19,"PN")+COUNTIF(F19:AJ19,"PT")*2+COUNTIF(F19:AJ19,"EP")</f>
        <v>0</v>
      </c>
    </row>
    <row r="20" spans="3:38" ht="13.5" customHeight="1">
      <c r="C20" s="57"/>
      <c r="D20" s="58"/>
      <c r="E20" s="59"/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1"/>
      <c r="AK20" s="27">
        <f t="shared" ref="AK20:AK83" si="0">COUNTIF(F20:AJ20,"PD")+COUNTIF(F20:AJ20,"PN")+COUNTIF(F20:AJ20,"PT")*2+COUNTIF(F20:AJ20,"EP")</f>
        <v>0</v>
      </c>
    </row>
    <row r="21" spans="3:38" ht="13.5" customHeight="1">
      <c r="C21" s="57"/>
      <c r="D21" s="58"/>
      <c r="E21" s="59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1"/>
      <c r="AK21" s="27">
        <f t="shared" si="0"/>
        <v>0</v>
      </c>
    </row>
    <row r="22" spans="3:38" ht="13.5" customHeight="1">
      <c r="C22" s="57"/>
      <c r="D22" s="58"/>
      <c r="E22" s="59"/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1"/>
      <c r="AK22" s="27">
        <f t="shared" si="0"/>
        <v>0</v>
      </c>
    </row>
    <row r="23" spans="3:38" ht="13.5" customHeight="1">
      <c r="C23" s="57"/>
      <c r="D23" s="58"/>
      <c r="E23" s="59"/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1"/>
      <c r="AK23" s="27">
        <f t="shared" si="0"/>
        <v>0</v>
      </c>
    </row>
    <row r="24" spans="3:38" ht="13.5" customHeight="1">
      <c r="C24" s="57"/>
      <c r="D24" s="58"/>
      <c r="E24" s="59"/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1"/>
      <c r="AK24" s="27">
        <f t="shared" si="0"/>
        <v>0</v>
      </c>
    </row>
    <row r="25" spans="3:38" ht="13.5" customHeight="1">
      <c r="C25" s="57"/>
      <c r="D25" s="58"/>
      <c r="E25" s="59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1"/>
      <c r="AK25" s="27">
        <f t="shared" si="0"/>
        <v>0</v>
      </c>
    </row>
    <row r="26" spans="3:38" ht="13.5" customHeight="1">
      <c r="C26" s="57"/>
      <c r="D26" s="58"/>
      <c r="E26" s="59"/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1"/>
      <c r="AK26" s="27">
        <f t="shared" si="0"/>
        <v>0</v>
      </c>
    </row>
    <row r="27" spans="3:38" ht="13.5" customHeight="1">
      <c r="C27" s="57"/>
      <c r="D27" s="58"/>
      <c r="E27" s="59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1"/>
      <c r="AK27" s="27">
        <f t="shared" si="0"/>
        <v>0</v>
      </c>
    </row>
    <row r="28" spans="3:38" ht="13.5" customHeight="1">
      <c r="C28" s="57"/>
      <c r="D28" s="58"/>
      <c r="E28" s="59"/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1"/>
      <c r="AK28" s="27">
        <f t="shared" si="0"/>
        <v>0</v>
      </c>
    </row>
    <row r="29" spans="3:38" ht="13.5" customHeight="1">
      <c r="C29" s="57"/>
      <c r="D29" s="58"/>
      <c r="E29" s="59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1"/>
      <c r="AK29" s="27">
        <f t="shared" si="0"/>
        <v>0</v>
      </c>
    </row>
    <row r="30" spans="3:38" ht="13.5" customHeight="1">
      <c r="C30" s="57"/>
      <c r="D30" s="58"/>
      <c r="E30" s="59"/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1"/>
      <c r="AK30" s="27">
        <f t="shared" si="0"/>
        <v>0</v>
      </c>
    </row>
    <row r="31" spans="3:38" ht="13.5" customHeight="1">
      <c r="C31" s="57"/>
      <c r="D31" s="58"/>
      <c r="E31" s="59"/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1"/>
      <c r="AK31" s="27">
        <f t="shared" si="0"/>
        <v>0</v>
      </c>
    </row>
    <row r="32" spans="3:38" ht="13.5" customHeight="1">
      <c r="C32" s="57"/>
      <c r="D32" s="58"/>
      <c r="E32" s="59"/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1"/>
      <c r="AK32" s="27">
        <f t="shared" si="0"/>
        <v>0</v>
      </c>
    </row>
    <row r="33" spans="3:37" ht="13.5" customHeight="1">
      <c r="C33" s="57"/>
      <c r="D33" s="58"/>
      <c r="E33" s="59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1"/>
      <c r="AK33" s="27">
        <f t="shared" si="0"/>
        <v>0</v>
      </c>
    </row>
    <row r="34" spans="3:37" ht="13.5" customHeight="1">
      <c r="C34" s="57"/>
      <c r="D34" s="58"/>
      <c r="E34" s="59"/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1"/>
      <c r="AK34" s="27">
        <f t="shared" si="0"/>
        <v>0</v>
      </c>
    </row>
    <row r="35" spans="3:37" ht="13.5" customHeight="1">
      <c r="C35" s="57"/>
      <c r="D35" s="58"/>
      <c r="E35" s="59"/>
      <c r="F35" s="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1"/>
      <c r="AK35" s="27">
        <f t="shared" si="0"/>
        <v>0</v>
      </c>
    </row>
    <row r="36" spans="3:37" ht="13.5" customHeight="1">
      <c r="C36" s="57"/>
      <c r="D36" s="58"/>
      <c r="E36" s="59"/>
      <c r="F36" s="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1"/>
      <c r="AK36" s="27">
        <f t="shared" si="0"/>
        <v>0</v>
      </c>
    </row>
    <row r="37" spans="3:37" ht="13.5" customHeight="1">
      <c r="C37" s="57"/>
      <c r="D37" s="58"/>
      <c r="E37" s="59"/>
      <c r="F37" s="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1"/>
      <c r="AK37" s="27">
        <f t="shared" si="0"/>
        <v>0</v>
      </c>
    </row>
    <row r="38" spans="3:37" ht="13.5" customHeight="1">
      <c r="C38" s="57"/>
      <c r="D38" s="58"/>
      <c r="E38" s="59"/>
      <c r="F38" s="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1"/>
      <c r="AK38" s="27">
        <f t="shared" si="0"/>
        <v>0</v>
      </c>
    </row>
    <row r="39" spans="3:37" ht="13.5" customHeight="1">
      <c r="C39" s="57"/>
      <c r="D39" s="58"/>
      <c r="E39" s="59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1"/>
      <c r="AK39" s="27">
        <f t="shared" si="0"/>
        <v>0</v>
      </c>
    </row>
    <row r="40" spans="3:37" ht="13.5" customHeight="1">
      <c r="C40" s="57"/>
      <c r="D40" s="58"/>
      <c r="E40" s="59"/>
      <c r="F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1"/>
      <c r="AK40" s="27">
        <f t="shared" si="0"/>
        <v>0</v>
      </c>
    </row>
    <row r="41" spans="3:37" ht="13.5" customHeight="1">
      <c r="C41" s="57"/>
      <c r="D41" s="58"/>
      <c r="E41" s="59"/>
      <c r="F41" s="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1"/>
      <c r="AK41" s="27">
        <f t="shared" si="0"/>
        <v>0</v>
      </c>
    </row>
    <row r="42" spans="3:37" ht="13.5" customHeight="1">
      <c r="C42" s="57"/>
      <c r="D42" s="58"/>
      <c r="E42" s="59"/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1"/>
      <c r="AK42" s="27">
        <f t="shared" si="0"/>
        <v>0</v>
      </c>
    </row>
    <row r="43" spans="3:37" ht="13.5" customHeight="1">
      <c r="C43" s="57"/>
      <c r="D43" s="58"/>
      <c r="E43" s="59"/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1"/>
      <c r="AK43" s="27">
        <f t="shared" si="0"/>
        <v>0</v>
      </c>
    </row>
    <row r="44" spans="3:37" ht="13.5" customHeight="1">
      <c r="C44" s="57"/>
      <c r="D44" s="58"/>
      <c r="E44" s="59"/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1"/>
      <c r="AK44" s="27">
        <f t="shared" si="0"/>
        <v>0</v>
      </c>
    </row>
    <row r="45" spans="3:37" ht="13.5" customHeight="1">
      <c r="C45" s="57"/>
      <c r="D45" s="58"/>
      <c r="E45" s="59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1"/>
      <c r="AK45" s="27">
        <f t="shared" si="0"/>
        <v>0</v>
      </c>
    </row>
    <row r="46" spans="3:37" ht="13.5" customHeight="1">
      <c r="C46" s="57"/>
      <c r="D46" s="58"/>
      <c r="E46" s="59"/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1"/>
      <c r="AK46" s="27">
        <f t="shared" si="0"/>
        <v>0</v>
      </c>
    </row>
    <row r="47" spans="3:37" ht="13.5" customHeight="1">
      <c r="C47" s="57"/>
      <c r="D47" s="58"/>
      <c r="E47" s="59"/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1"/>
      <c r="AK47" s="27">
        <f t="shared" si="0"/>
        <v>0</v>
      </c>
    </row>
    <row r="48" spans="3:37" ht="13.5" customHeight="1">
      <c r="C48" s="57"/>
      <c r="D48" s="58"/>
      <c r="E48" s="59"/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1"/>
      <c r="AK48" s="27">
        <f t="shared" si="0"/>
        <v>0</v>
      </c>
    </row>
    <row r="49" spans="3:37" ht="13.5" customHeight="1">
      <c r="C49" s="57"/>
      <c r="D49" s="58"/>
      <c r="E49" s="59"/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1"/>
      <c r="AK49" s="27">
        <f t="shared" si="0"/>
        <v>0</v>
      </c>
    </row>
    <row r="50" spans="3:37" ht="13.5" customHeight="1">
      <c r="C50" s="57"/>
      <c r="D50" s="58"/>
      <c r="E50" s="59"/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1"/>
      <c r="AK50" s="27">
        <f t="shared" si="0"/>
        <v>0</v>
      </c>
    </row>
    <row r="51" spans="3:37" ht="13.5" customHeight="1">
      <c r="C51" s="57"/>
      <c r="D51" s="58"/>
      <c r="E51" s="59"/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1"/>
      <c r="AK51" s="27">
        <f t="shared" si="0"/>
        <v>0</v>
      </c>
    </row>
    <row r="52" spans="3:37" ht="13.5" customHeight="1">
      <c r="C52" s="57"/>
      <c r="D52" s="58"/>
      <c r="E52" s="59"/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1"/>
      <c r="AK52" s="27">
        <f t="shared" si="0"/>
        <v>0</v>
      </c>
    </row>
    <row r="53" spans="3:37" ht="13.5" customHeight="1">
      <c r="C53" s="57"/>
      <c r="D53" s="58"/>
      <c r="E53" s="59"/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1"/>
      <c r="AK53" s="27">
        <f t="shared" si="0"/>
        <v>0</v>
      </c>
    </row>
    <row r="54" spans="3:37" ht="13.5" customHeight="1">
      <c r="C54" s="57"/>
      <c r="D54" s="58"/>
      <c r="E54" s="59"/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1"/>
      <c r="AK54" s="27">
        <f t="shared" si="0"/>
        <v>0</v>
      </c>
    </row>
    <row r="55" spans="3:37" ht="13.5" customHeight="1">
      <c r="C55" s="57"/>
      <c r="D55" s="58"/>
      <c r="E55" s="59"/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1"/>
      <c r="AK55" s="27">
        <f t="shared" si="0"/>
        <v>0</v>
      </c>
    </row>
    <row r="56" spans="3:37" ht="13.5" customHeight="1">
      <c r="C56" s="57"/>
      <c r="D56" s="58"/>
      <c r="E56" s="59"/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1"/>
      <c r="AK56" s="27">
        <f t="shared" si="0"/>
        <v>0</v>
      </c>
    </row>
    <row r="57" spans="3:37" ht="13.5" customHeight="1">
      <c r="C57" s="57"/>
      <c r="D57" s="58"/>
      <c r="E57" s="59"/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1"/>
      <c r="AK57" s="27">
        <f t="shared" si="0"/>
        <v>0</v>
      </c>
    </row>
    <row r="58" spans="3:37" ht="13.5" customHeight="1">
      <c r="C58" s="57"/>
      <c r="D58" s="58"/>
      <c r="E58" s="59"/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1"/>
      <c r="AK58" s="27">
        <f t="shared" si="0"/>
        <v>0</v>
      </c>
    </row>
    <row r="59" spans="3:37" ht="13.5" customHeight="1">
      <c r="C59" s="57"/>
      <c r="D59" s="58"/>
      <c r="E59" s="59"/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1"/>
      <c r="AK59" s="27">
        <f t="shared" si="0"/>
        <v>0</v>
      </c>
    </row>
    <row r="60" spans="3:37" ht="13.5" customHeight="1">
      <c r="C60" s="57"/>
      <c r="D60" s="58"/>
      <c r="E60" s="59"/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1"/>
      <c r="AK60" s="27">
        <f t="shared" si="0"/>
        <v>0</v>
      </c>
    </row>
    <row r="61" spans="3:37" ht="13.5" customHeight="1">
      <c r="C61" s="57"/>
      <c r="D61" s="58"/>
      <c r="E61" s="59"/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1"/>
      <c r="AK61" s="27">
        <f t="shared" si="0"/>
        <v>0</v>
      </c>
    </row>
    <row r="62" spans="3:37" ht="13.5" customHeight="1">
      <c r="C62" s="57"/>
      <c r="D62" s="58"/>
      <c r="E62" s="59"/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1"/>
      <c r="AK62" s="27">
        <f t="shared" si="0"/>
        <v>0</v>
      </c>
    </row>
    <row r="63" spans="3:37" ht="13.5" customHeight="1">
      <c r="C63" s="57"/>
      <c r="D63" s="58"/>
      <c r="E63" s="59"/>
      <c r="F63" s="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1"/>
      <c r="AK63" s="27">
        <f t="shared" si="0"/>
        <v>0</v>
      </c>
    </row>
    <row r="64" spans="3:37" ht="13.5" customHeight="1">
      <c r="C64" s="57"/>
      <c r="D64" s="58"/>
      <c r="E64" s="59"/>
      <c r="F64" s="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1"/>
      <c r="AK64" s="27">
        <f t="shared" si="0"/>
        <v>0</v>
      </c>
    </row>
    <row r="65" spans="3:37" ht="13.5" customHeight="1">
      <c r="C65" s="57"/>
      <c r="D65" s="58"/>
      <c r="E65" s="59"/>
      <c r="F65" s="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1"/>
      <c r="AK65" s="27">
        <f t="shared" si="0"/>
        <v>0</v>
      </c>
    </row>
    <row r="66" spans="3:37" ht="13.5" customHeight="1">
      <c r="C66" s="57"/>
      <c r="D66" s="58"/>
      <c r="E66" s="59"/>
      <c r="F66" s="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1"/>
      <c r="AK66" s="27">
        <f t="shared" si="0"/>
        <v>0</v>
      </c>
    </row>
    <row r="67" spans="3:37" ht="13.5" customHeight="1">
      <c r="C67" s="57"/>
      <c r="D67" s="58"/>
      <c r="E67" s="59"/>
      <c r="F67" s="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1"/>
      <c r="AK67" s="27">
        <f t="shared" si="0"/>
        <v>0</v>
      </c>
    </row>
    <row r="68" spans="3:37" ht="13.5" customHeight="1">
      <c r="C68" s="57"/>
      <c r="D68" s="58"/>
      <c r="E68" s="59"/>
      <c r="F68" s="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1"/>
      <c r="AK68" s="27">
        <f t="shared" si="0"/>
        <v>0</v>
      </c>
    </row>
    <row r="69" spans="3:37" ht="13.5" customHeight="1">
      <c r="C69" s="57"/>
      <c r="D69" s="58"/>
      <c r="E69" s="59"/>
      <c r="F69" s="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1"/>
      <c r="AK69" s="27">
        <f t="shared" si="0"/>
        <v>0</v>
      </c>
    </row>
    <row r="70" spans="3:37" ht="13.5" customHeight="1">
      <c r="C70" s="57"/>
      <c r="D70" s="58"/>
      <c r="E70" s="59"/>
      <c r="F70" s="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1"/>
      <c r="AK70" s="27">
        <f t="shared" si="0"/>
        <v>0</v>
      </c>
    </row>
    <row r="71" spans="3:37" ht="13.5" customHeight="1">
      <c r="C71" s="57"/>
      <c r="D71" s="58"/>
      <c r="E71" s="59"/>
      <c r="F71" s="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1"/>
      <c r="AK71" s="27">
        <f t="shared" si="0"/>
        <v>0</v>
      </c>
    </row>
    <row r="72" spans="3:37" ht="13.5" customHeight="1">
      <c r="C72" s="57"/>
      <c r="D72" s="58"/>
      <c r="E72" s="59"/>
      <c r="F72" s="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1"/>
      <c r="AK72" s="27">
        <f t="shared" si="0"/>
        <v>0</v>
      </c>
    </row>
    <row r="73" spans="3:37" ht="13.5" customHeight="1">
      <c r="C73" s="57"/>
      <c r="D73" s="38"/>
      <c r="E73" s="39"/>
      <c r="F73" s="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1"/>
      <c r="AK73" s="27">
        <f t="shared" si="0"/>
        <v>0</v>
      </c>
    </row>
    <row r="74" spans="3:37" ht="13.5" customHeight="1">
      <c r="C74" s="57"/>
      <c r="D74" s="38"/>
      <c r="E74" s="39"/>
      <c r="F74" s="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1"/>
      <c r="AK74" s="27">
        <f t="shared" si="0"/>
        <v>0</v>
      </c>
    </row>
    <row r="75" spans="3:37" ht="13.5" customHeight="1">
      <c r="C75" s="37"/>
      <c r="D75" s="38"/>
      <c r="E75" s="39"/>
      <c r="F75" s="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1"/>
      <c r="AK75" s="27">
        <f t="shared" si="0"/>
        <v>0</v>
      </c>
    </row>
    <row r="76" spans="3:37" ht="13.5" customHeight="1">
      <c r="C76" s="37"/>
      <c r="D76" s="38"/>
      <c r="E76" s="39"/>
      <c r="F76" s="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1"/>
      <c r="AK76" s="27">
        <f t="shared" si="0"/>
        <v>0</v>
      </c>
    </row>
    <row r="77" spans="3:37" ht="13.5" customHeight="1">
      <c r="C77" s="37"/>
      <c r="D77" s="38"/>
      <c r="E77" s="39"/>
      <c r="F77" s="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1"/>
      <c r="AK77" s="27">
        <f t="shared" si="0"/>
        <v>0</v>
      </c>
    </row>
    <row r="78" spans="3:37" ht="13.5" customHeight="1">
      <c r="C78" s="37"/>
      <c r="D78" s="38"/>
      <c r="E78" s="39"/>
      <c r="F78" s="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1"/>
      <c r="AK78" s="27">
        <f t="shared" si="0"/>
        <v>0</v>
      </c>
    </row>
    <row r="79" spans="3:37" ht="13.5" customHeight="1">
      <c r="C79" s="37"/>
      <c r="D79" s="38"/>
      <c r="E79" s="39"/>
      <c r="F79" s="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1"/>
      <c r="AK79" s="27">
        <f t="shared" si="0"/>
        <v>0</v>
      </c>
    </row>
    <row r="80" spans="3:37" ht="13.5" customHeight="1">
      <c r="C80" s="37"/>
      <c r="D80" s="38"/>
      <c r="E80" s="39"/>
      <c r="F80" s="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1"/>
      <c r="AK80" s="27">
        <f t="shared" si="0"/>
        <v>0</v>
      </c>
    </row>
    <row r="81" spans="3:37" ht="13.5" customHeight="1">
      <c r="C81" s="37"/>
      <c r="D81" s="38"/>
      <c r="E81" s="39"/>
      <c r="F81" s="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1"/>
      <c r="AK81" s="27">
        <f t="shared" si="0"/>
        <v>0</v>
      </c>
    </row>
    <row r="82" spans="3:37" ht="13.5" customHeight="1">
      <c r="C82" s="37"/>
      <c r="D82" s="38"/>
      <c r="E82" s="39"/>
      <c r="F82" s="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1"/>
      <c r="AK82" s="27">
        <f t="shared" si="0"/>
        <v>0</v>
      </c>
    </row>
    <row r="83" spans="3:37" ht="13.5" customHeight="1">
      <c r="C83" s="37"/>
      <c r="D83" s="38"/>
      <c r="E83" s="39"/>
      <c r="F83" s="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1"/>
      <c r="AK83" s="27">
        <f t="shared" si="0"/>
        <v>0</v>
      </c>
    </row>
    <row r="84" spans="3:37" ht="13.5" customHeight="1">
      <c r="C84" s="37"/>
      <c r="D84" s="38"/>
      <c r="E84" s="39"/>
      <c r="F84" s="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1"/>
      <c r="AK84" s="27">
        <f t="shared" ref="AK84:AK117" si="1">COUNTIF(F84:AJ84,"PD")+COUNTIF(F84:AJ84,"PN")+COUNTIF(F84:AJ84,"PT")*2+COUNTIF(F84:AJ84,"EP")</f>
        <v>0</v>
      </c>
    </row>
    <row r="85" spans="3:37" ht="13.5" customHeight="1">
      <c r="C85" s="37"/>
      <c r="D85" s="38"/>
      <c r="E85" s="39"/>
      <c r="F85" s="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1"/>
      <c r="AK85" s="27">
        <f t="shared" si="1"/>
        <v>0</v>
      </c>
    </row>
    <row r="86" spans="3:37" ht="13.5" customHeight="1">
      <c r="C86" s="37"/>
      <c r="D86" s="38"/>
      <c r="E86" s="39"/>
      <c r="F86" s="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1"/>
      <c r="AK86" s="27">
        <f t="shared" si="1"/>
        <v>0</v>
      </c>
    </row>
    <row r="87" spans="3:37" ht="13.5" customHeight="1">
      <c r="C87" s="37"/>
      <c r="D87" s="38"/>
      <c r="E87" s="39"/>
      <c r="F87" s="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1"/>
      <c r="AK87" s="27">
        <f t="shared" si="1"/>
        <v>0</v>
      </c>
    </row>
    <row r="88" spans="3:37" ht="13.5" customHeight="1">
      <c r="C88" s="37"/>
      <c r="D88" s="38"/>
      <c r="E88" s="39"/>
      <c r="F88" s="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1"/>
      <c r="AK88" s="27">
        <f t="shared" si="1"/>
        <v>0</v>
      </c>
    </row>
    <row r="89" spans="3:37" ht="13.5" customHeight="1">
      <c r="C89" s="37"/>
      <c r="D89" s="38"/>
      <c r="E89" s="39"/>
      <c r="F89" s="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1"/>
      <c r="AK89" s="27">
        <f t="shared" si="1"/>
        <v>0</v>
      </c>
    </row>
    <row r="90" spans="3:37" ht="13.5" customHeight="1">
      <c r="C90" s="37"/>
      <c r="D90" s="38"/>
      <c r="E90" s="39"/>
      <c r="F90" s="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1"/>
      <c r="AK90" s="27">
        <f t="shared" si="1"/>
        <v>0</v>
      </c>
    </row>
    <row r="91" spans="3:37" ht="13.5" customHeight="1">
      <c r="C91" s="37"/>
      <c r="D91" s="38"/>
      <c r="E91" s="39"/>
      <c r="F91" s="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1"/>
      <c r="AK91" s="27">
        <f t="shared" si="1"/>
        <v>0</v>
      </c>
    </row>
    <row r="92" spans="3:37" ht="13.5" customHeight="1">
      <c r="C92" s="37"/>
      <c r="D92" s="38"/>
      <c r="E92" s="39"/>
      <c r="F92" s="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1"/>
      <c r="AK92" s="27">
        <f t="shared" si="1"/>
        <v>0</v>
      </c>
    </row>
    <row r="93" spans="3:37" ht="13.5" customHeight="1">
      <c r="C93" s="37"/>
      <c r="D93" s="38"/>
      <c r="E93" s="39"/>
      <c r="F93" s="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1"/>
      <c r="AK93" s="27">
        <f t="shared" si="1"/>
        <v>0</v>
      </c>
    </row>
    <row r="94" spans="3:37" ht="13.5" customHeight="1">
      <c r="C94" s="37"/>
      <c r="D94" s="38"/>
      <c r="E94" s="39"/>
      <c r="F94" s="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1"/>
      <c r="AK94" s="27">
        <f t="shared" si="1"/>
        <v>0</v>
      </c>
    </row>
    <row r="95" spans="3:37" ht="13.5" customHeight="1">
      <c r="C95" s="37"/>
      <c r="D95" s="38"/>
      <c r="E95" s="39"/>
      <c r="F95" s="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1"/>
      <c r="AK95" s="27">
        <f t="shared" si="1"/>
        <v>0</v>
      </c>
    </row>
    <row r="96" spans="3:37" ht="13.5" customHeight="1">
      <c r="C96" s="37"/>
      <c r="D96" s="38"/>
      <c r="E96" s="39"/>
      <c r="F96" s="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1"/>
      <c r="AK96" s="27">
        <f t="shared" si="1"/>
        <v>0</v>
      </c>
    </row>
    <row r="97" spans="3:37" ht="13.5" customHeight="1">
      <c r="C97" s="37"/>
      <c r="D97" s="38"/>
      <c r="E97" s="39"/>
      <c r="F97" s="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1"/>
      <c r="AK97" s="27">
        <f t="shared" si="1"/>
        <v>0</v>
      </c>
    </row>
    <row r="98" spans="3:37" ht="13.5" customHeight="1">
      <c r="C98" s="37"/>
      <c r="D98" s="38"/>
      <c r="E98" s="39"/>
      <c r="F98" s="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1"/>
      <c r="AK98" s="27">
        <f t="shared" si="1"/>
        <v>0</v>
      </c>
    </row>
    <row r="99" spans="3:37" ht="13.5" customHeight="1">
      <c r="C99" s="37"/>
      <c r="D99" s="38"/>
      <c r="E99" s="39"/>
      <c r="F99" s="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1"/>
      <c r="AK99" s="27">
        <f t="shared" si="1"/>
        <v>0</v>
      </c>
    </row>
    <row r="100" spans="3:37" ht="13.5" customHeight="1">
      <c r="C100" s="37"/>
      <c r="D100" s="38"/>
      <c r="E100" s="39"/>
      <c r="F100" s="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1"/>
      <c r="AK100" s="27">
        <f t="shared" si="1"/>
        <v>0</v>
      </c>
    </row>
    <row r="101" spans="3:37" ht="13.5" customHeight="1">
      <c r="C101" s="37"/>
      <c r="D101" s="38"/>
      <c r="E101" s="39"/>
      <c r="F101" s="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1"/>
      <c r="AK101" s="27">
        <f t="shared" si="1"/>
        <v>0</v>
      </c>
    </row>
    <row r="102" spans="3:37" ht="13.5" customHeight="1">
      <c r="C102" s="37"/>
      <c r="D102" s="38"/>
      <c r="E102" s="39"/>
      <c r="F102" s="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1"/>
      <c r="AK102" s="27">
        <f t="shared" si="1"/>
        <v>0</v>
      </c>
    </row>
    <row r="103" spans="3:37" ht="13.5" customHeight="1">
      <c r="C103" s="37"/>
      <c r="D103" s="38"/>
      <c r="E103" s="39"/>
      <c r="F103" s="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1"/>
      <c r="AK103" s="27">
        <f t="shared" si="1"/>
        <v>0</v>
      </c>
    </row>
    <row r="104" spans="3:37" ht="13.5" customHeight="1">
      <c r="C104" s="37"/>
      <c r="D104" s="38"/>
      <c r="E104" s="39"/>
      <c r="F104" s="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1"/>
      <c r="AK104" s="27">
        <f t="shared" si="1"/>
        <v>0</v>
      </c>
    </row>
    <row r="105" spans="3:37" ht="13.5" customHeight="1">
      <c r="C105" s="37"/>
      <c r="D105" s="38"/>
      <c r="E105" s="39"/>
      <c r="F105" s="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1"/>
      <c r="AK105" s="27">
        <f t="shared" si="1"/>
        <v>0</v>
      </c>
    </row>
    <row r="106" spans="3:37" ht="13.5" customHeight="1">
      <c r="C106" s="37"/>
      <c r="D106" s="38"/>
      <c r="E106" s="39"/>
      <c r="F106" s="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1"/>
      <c r="AK106" s="27">
        <f t="shared" si="1"/>
        <v>0</v>
      </c>
    </row>
    <row r="107" spans="3:37" ht="13.5" customHeight="1">
      <c r="C107" s="37"/>
      <c r="D107" s="38"/>
      <c r="E107" s="39"/>
      <c r="F107" s="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1"/>
      <c r="AK107" s="27">
        <f t="shared" si="1"/>
        <v>0</v>
      </c>
    </row>
    <row r="108" spans="3:37" ht="13.5" customHeight="1">
      <c r="C108" s="37"/>
      <c r="D108" s="38"/>
      <c r="E108" s="39"/>
      <c r="F108" s="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1"/>
      <c r="AK108" s="27">
        <f t="shared" si="1"/>
        <v>0</v>
      </c>
    </row>
    <row r="109" spans="3:37" ht="13.5" customHeight="1">
      <c r="C109" s="37"/>
      <c r="D109" s="38"/>
      <c r="E109" s="39"/>
      <c r="F109" s="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1"/>
      <c r="AK109" s="27">
        <f t="shared" si="1"/>
        <v>0</v>
      </c>
    </row>
    <row r="110" spans="3:37" ht="13.5" customHeight="1">
      <c r="C110" s="37"/>
      <c r="D110" s="38"/>
      <c r="E110" s="39"/>
      <c r="F110" s="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1"/>
      <c r="AK110" s="27">
        <f t="shared" si="1"/>
        <v>0</v>
      </c>
    </row>
    <row r="111" spans="3:37" ht="13.5" customHeight="1">
      <c r="C111" s="37"/>
      <c r="D111" s="38"/>
      <c r="E111" s="39"/>
      <c r="F111" s="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1"/>
      <c r="AK111" s="27">
        <f t="shared" si="1"/>
        <v>0</v>
      </c>
    </row>
    <row r="112" spans="3:37" ht="13.5" customHeight="1">
      <c r="C112" s="37"/>
      <c r="D112" s="38"/>
      <c r="E112" s="39"/>
      <c r="F112" s="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1"/>
      <c r="AK112" s="27">
        <f t="shared" si="1"/>
        <v>0</v>
      </c>
    </row>
    <row r="113" spans="3:37" ht="13.5" customHeight="1">
      <c r="C113" s="37"/>
      <c r="D113" s="38"/>
      <c r="E113" s="39"/>
      <c r="F113" s="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1"/>
      <c r="AK113" s="27">
        <f t="shared" si="1"/>
        <v>0</v>
      </c>
    </row>
    <row r="114" spans="3:37" ht="13.5" customHeight="1">
      <c r="C114" s="37"/>
      <c r="D114" s="38"/>
      <c r="E114" s="39"/>
      <c r="F114" s="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1"/>
      <c r="AK114" s="27">
        <f t="shared" si="1"/>
        <v>0</v>
      </c>
    </row>
    <row r="115" spans="3:37" ht="13.5" customHeight="1">
      <c r="C115" s="37"/>
      <c r="D115" s="38"/>
      <c r="E115" s="39"/>
      <c r="F115" s="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1"/>
      <c r="AK115" s="27">
        <f t="shared" si="1"/>
        <v>0</v>
      </c>
    </row>
    <row r="116" spans="3:37" ht="13.5" customHeight="1">
      <c r="C116" s="37"/>
      <c r="D116" s="38"/>
      <c r="E116" s="39"/>
      <c r="F116" s="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1"/>
      <c r="AK116" s="27">
        <f t="shared" si="1"/>
        <v>0</v>
      </c>
    </row>
    <row r="117" spans="3:37" ht="13.5" customHeight="1">
      <c r="C117" s="40"/>
      <c r="D117" s="41"/>
      <c r="E117" s="42"/>
      <c r="F117" s="28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30"/>
      <c r="AK117" s="27">
        <f t="shared" si="1"/>
        <v>0</v>
      </c>
    </row>
    <row r="118" spans="3:37" ht="3.75" customHeight="1">
      <c r="C118" s="43"/>
      <c r="D118" s="44"/>
      <c r="E118" s="45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7"/>
    </row>
    <row r="119" spans="3:37">
      <c r="E119" s="13"/>
      <c r="F119" s="14">
        <f>COUNTIFS(F18:F117,"PD")+COUNTIFS(F18:F117,"PN")+COUNTIFS(F18:F117,"PT")+COUNTIFS(F18:F117,"EP")</f>
        <v>0</v>
      </c>
      <c r="G119" s="15">
        <f>COUNTIFS(G18:G117,"PD")+COUNTIFS(G18:G117,"PN")+COUNTIFS(G18:G117,"PT")*2+COUNTIFS(G18:G117,"EP")</f>
        <v>0</v>
      </c>
      <c r="H119" s="15">
        <f t="shared" ref="H119:AI119" si="2">COUNTIFS(H18:H117,"PD")+COUNTIFS(H18:H117,"PN")+COUNTIFS(H18:H117,"PT")*2+COUNTIFS(H18:H117,"EP")</f>
        <v>0</v>
      </c>
      <c r="I119" s="15">
        <f t="shared" si="2"/>
        <v>0</v>
      </c>
      <c r="J119" s="15">
        <f t="shared" si="2"/>
        <v>0</v>
      </c>
      <c r="K119" s="15">
        <f t="shared" si="2"/>
        <v>0</v>
      </c>
      <c r="L119" s="15">
        <f t="shared" si="2"/>
        <v>0</v>
      </c>
      <c r="M119" s="15">
        <f t="shared" si="2"/>
        <v>0</v>
      </c>
      <c r="N119" s="15">
        <f t="shared" si="2"/>
        <v>0</v>
      </c>
      <c r="O119" s="15">
        <f t="shared" si="2"/>
        <v>0</v>
      </c>
      <c r="P119" s="15">
        <f t="shared" si="2"/>
        <v>0</v>
      </c>
      <c r="Q119" s="15">
        <f t="shared" si="2"/>
        <v>0</v>
      </c>
      <c r="R119" s="15">
        <f t="shared" si="2"/>
        <v>0</v>
      </c>
      <c r="S119" s="15">
        <f t="shared" si="2"/>
        <v>0</v>
      </c>
      <c r="T119" s="15">
        <f t="shared" si="2"/>
        <v>0</v>
      </c>
      <c r="U119" s="15">
        <f t="shared" si="2"/>
        <v>0</v>
      </c>
      <c r="V119" s="15">
        <f t="shared" si="2"/>
        <v>0</v>
      </c>
      <c r="W119" s="15">
        <f t="shared" si="2"/>
        <v>0</v>
      </c>
      <c r="X119" s="15">
        <f t="shared" si="2"/>
        <v>0</v>
      </c>
      <c r="Y119" s="15">
        <f t="shared" si="2"/>
        <v>0</v>
      </c>
      <c r="Z119" s="15">
        <f t="shared" si="2"/>
        <v>0</v>
      </c>
      <c r="AA119" s="15">
        <f t="shared" si="2"/>
        <v>0</v>
      </c>
      <c r="AB119" s="15">
        <f t="shared" si="2"/>
        <v>0</v>
      </c>
      <c r="AC119" s="15">
        <f t="shared" si="2"/>
        <v>0</v>
      </c>
      <c r="AD119" s="15">
        <f t="shared" si="2"/>
        <v>0</v>
      </c>
      <c r="AE119" s="15">
        <f t="shared" si="2"/>
        <v>0</v>
      </c>
      <c r="AF119" s="15">
        <f t="shared" si="2"/>
        <v>0</v>
      </c>
      <c r="AG119" s="15">
        <f t="shared" si="2"/>
        <v>0</v>
      </c>
      <c r="AH119" s="15">
        <f t="shared" si="2"/>
        <v>0</v>
      </c>
      <c r="AI119" s="15">
        <f t="shared" si="2"/>
        <v>0</v>
      </c>
      <c r="AJ119" s="16">
        <f>COUNTIFS(AJ18:AJ117,"PD")+COUNTIFS(AJ18:AJ117,"PN")+COUNTIFS(AJ18:AJ117,"PT")*2+COUNTIFS(AJ18:AJ117,"EP")</f>
        <v>0</v>
      </c>
      <c r="AK119" s="17"/>
    </row>
    <row r="120" spans="3:37" ht="3.75" customHeight="1">
      <c r="E120" s="13"/>
    </row>
    <row r="121" spans="3:37">
      <c r="E121" s="13"/>
      <c r="F121" s="18" t="s">
        <v>8</v>
      </c>
      <c r="G121" s="87" t="s">
        <v>9</v>
      </c>
      <c r="H121" s="87"/>
      <c r="I121" s="87"/>
      <c r="J121" s="87"/>
      <c r="K121" s="12"/>
      <c r="L121" s="19" t="s">
        <v>10</v>
      </c>
      <c r="M121" s="88" t="s">
        <v>11</v>
      </c>
      <c r="N121" s="89"/>
      <c r="O121" s="89"/>
      <c r="P121" s="90"/>
      <c r="Q121" s="12"/>
      <c r="R121" s="20" t="s">
        <v>12</v>
      </c>
      <c r="S121" s="88" t="s">
        <v>13</v>
      </c>
      <c r="T121" s="89"/>
      <c r="U121" s="89"/>
      <c r="V121" s="90"/>
      <c r="X121" s="21" t="s">
        <v>28</v>
      </c>
      <c r="Y121" s="88" t="s">
        <v>14</v>
      </c>
      <c r="Z121" s="89"/>
      <c r="AA121" s="89"/>
      <c r="AB121" s="90"/>
      <c r="AC121" s="12"/>
      <c r="AD121" s="22" t="s">
        <v>15</v>
      </c>
      <c r="AE121" s="88" t="s">
        <v>16</v>
      </c>
      <c r="AF121" s="89"/>
      <c r="AG121" s="89"/>
      <c r="AH121" s="90"/>
    </row>
    <row r="122" spans="3:37" ht="3.75" customHeight="1">
      <c r="E122" s="13"/>
    </row>
    <row r="123" spans="3:37">
      <c r="E123" s="13"/>
      <c r="F123" s="23" t="s">
        <v>17</v>
      </c>
      <c r="G123" s="87" t="s">
        <v>18</v>
      </c>
      <c r="H123" s="87"/>
      <c r="I123" s="87"/>
      <c r="J123" s="87"/>
      <c r="L123" s="64" t="s">
        <v>20</v>
      </c>
      <c r="M123" s="87" t="s">
        <v>21</v>
      </c>
      <c r="N123" s="87"/>
      <c r="O123" s="87"/>
      <c r="P123" s="87"/>
      <c r="R123" s="65" t="s">
        <v>22</v>
      </c>
      <c r="S123" s="88" t="s">
        <v>23</v>
      </c>
      <c r="T123" s="89"/>
      <c r="U123" s="89"/>
      <c r="V123" s="90"/>
      <c r="W123" s="12"/>
      <c r="X123" s="66" t="s">
        <v>24</v>
      </c>
      <c r="Y123" s="88" t="s">
        <v>25</v>
      </c>
      <c r="Z123" s="89"/>
      <c r="AA123" s="89"/>
      <c r="AB123" s="90"/>
      <c r="AD123" s="67" t="s">
        <v>26</v>
      </c>
      <c r="AE123" s="91" t="s">
        <v>27</v>
      </c>
      <c r="AF123" s="92"/>
      <c r="AG123" s="92"/>
      <c r="AH123" s="93"/>
    </row>
    <row r="124" spans="3:37">
      <c r="E124" s="13"/>
    </row>
    <row r="125" spans="3:37">
      <c r="D125" s="70"/>
      <c r="E125" s="70"/>
      <c r="F125" s="70"/>
      <c r="G125" s="70"/>
      <c r="H125" s="70"/>
      <c r="I125" s="70"/>
      <c r="J125" s="70"/>
      <c r="K125" s="70"/>
      <c r="L125" s="70"/>
      <c r="M125" s="74" t="s">
        <v>19</v>
      </c>
      <c r="N125" s="75"/>
      <c r="O125" s="75"/>
      <c r="P125" s="75"/>
      <c r="Q125" s="75"/>
      <c r="R125" s="75"/>
      <c r="S125" s="75"/>
      <c r="T125" s="75"/>
      <c r="U125" s="76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</row>
    <row r="126" spans="3:37">
      <c r="D126" s="70"/>
      <c r="E126" s="70"/>
      <c r="F126" s="70"/>
      <c r="G126" s="70"/>
      <c r="H126" s="70"/>
      <c r="I126" s="70"/>
      <c r="J126" s="70"/>
      <c r="K126" s="70"/>
      <c r="L126" s="70"/>
      <c r="M126" s="77"/>
      <c r="N126" s="78"/>
      <c r="O126" s="78"/>
      <c r="P126" s="78"/>
      <c r="Q126" s="78"/>
      <c r="R126" s="78"/>
      <c r="S126" s="78"/>
      <c r="T126" s="78"/>
      <c r="U126" s="79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</row>
    <row r="127" spans="3:37">
      <c r="D127" s="70"/>
      <c r="E127" s="70"/>
      <c r="F127" s="70"/>
      <c r="G127" s="70"/>
      <c r="H127" s="70"/>
      <c r="I127" s="70"/>
      <c r="J127" s="70"/>
      <c r="K127" s="70"/>
      <c r="L127" s="70"/>
      <c r="M127" s="77"/>
      <c r="N127" s="78"/>
      <c r="O127" s="78"/>
      <c r="P127" s="78"/>
      <c r="Q127" s="78"/>
      <c r="R127" s="78"/>
      <c r="S127" s="78"/>
      <c r="T127" s="78"/>
      <c r="U127" s="79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</row>
    <row r="128" spans="3:37">
      <c r="D128" s="70"/>
      <c r="E128" s="70"/>
      <c r="F128" s="70"/>
      <c r="G128" s="70"/>
      <c r="H128" s="70"/>
      <c r="I128" s="70"/>
      <c r="J128" s="70"/>
      <c r="K128" s="70"/>
      <c r="L128" s="70"/>
      <c r="M128" s="77"/>
      <c r="N128" s="78"/>
      <c r="O128" s="78"/>
      <c r="P128" s="78"/>
      <c r="Q128" s="78"/>
      <c r="R128" s="78"/>
      <c r="S128" s="78"/>
      <c r="T128" s="78"/>
      <c r="U128" s="79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</row>
    <row r="129" spans="3:37">
      <c r="C129" s="24"/>
      <c r="D129" s="70"/>
      <c r="E129" s="70"/>
      <c r="F129" s="70"/>
      <c r="G129" s="70"/>
      <c r="H129" s="70"/>
      <c r="I129" s="70"/>
      <c r="J129" s="70"/>
      <c r="K129" s="70"/>
      <c r="L129" s="70"/>
      <c r="M129" s="80"/>
      <c r="N129" s="81"/>
      <c r="O129" s="81"/>
      <c r="P129" s="81"/>
      <c r="Q129" s="81"/>
      <c r="R129" s="81"/>
      <c r="S129" s="81"/>
      <c r="T129" s="81"/>
      <c r="U129" s="82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25"/>
      <c r="AI129" s="25"/>
      <c r="AJ129" s="25"/>
      <c r="AK129" s="25"/>
    </row>
    <row r="130" spans="3:37">
      <c r="E130" s="13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</sheetData>
  <mergeCells count="20">
    <mergeCell ref="C6:AK7"/>
    <mergeCell ref="C9:AK9"/>
    <mergeCell ref="C11:C12"/>
    <mergeCell ref="D11:D12"/>
    <mergeCell ref="E11:E12"/>
    <mergeCell ref="AK11:AK12"/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</mergeCells>
  <phoneticPr fontId="7" type="noConversion"/>
  <conditionalFormatting sqref="F11:F117">
    <cfRule type="expression" dxfId="275" priority="288">
      <formula>$F$8="CA"</formula>
    </cfRule>
    <cfRule type="expression" dxfId="274" priority="287">
      <formula>$F$11="DOM"</formula>
    </cfRule>
    <cfRule type="expression" dxfId="273" priority="286">
      <formula>$F$11="SÁB"</formula>
    </cfRule>
    <cfRule type="expression" dxfId="272" priority="289">
      <formula>$F$8="FR"</formula>
    </cfRule>
  </conditionalFormatting>
  <conditionalFormatting sqref="F14:AJ16">
    <cfRule type="cellIs" dxfId="271" priority="6" operator="equal">
      <formula>"N"</formula>
    </cfRule>
    <cfRule type="cellIs" dxfId="270" priority="3" operator="equal">
      <formula>"ED"</formula>
    </cfRule>
    <cfRule type="cellIs" dxfId="269" priority="2" operator="equal">
      <formula>"EN"</formula>
    </cfRule>
    <cfRule type="cellIs" dxfId="138" priority="1" operator="equal">
      <formula>"ET"</formula>
    </cfRule>
  </conditionalFormatting>
  <conditionalFormatting sqref="F18:AJ117">
    <cfRule type="cellIs" dxfId="268" priority="4" operator="equal">
      <formula>"ET"</formula>
    </cfRule>
    <cfRule type="cellIs" dxfId="267" priority="5" operator="equal">
      <formula>"EN"</formula>
    </cfRule>
    <cfRule type="cellIs" dxfId="266" priority="7" operator="equal">
      <formula>"ED"</formula>
    </cfRule>
    <cfRule type="cellIs" dxfId="265" priority="8" operator="equal">
      <formula>"PN"</formula>
    </cfRule>
    <cfRule type="cellIs" dxfId="264" priority="10" operator="equal">
      <formula>"PT"</formula>
    </cfRule>
    <cfRule type="cellIs" dxfId="263" priority="11" operator="equal">
      <formula>"FO"</formula>
    </cfRule>
    <cfRule type="cellIs" dxfId="262" priority="12" operator="equal">
      <formula>"FE"</formula>
    </cfRule>
    <cfRule type="cellIs" dxfId="261" priority="13" operator="equal">
      <formula>"BX"</formula>
    </cfRule>
    <cfRule type="cellIs" dxfId="260" priority="14" operator="equal">
      <formula>"EP"</formula>
    </cfRule>
    <cfRule type="cellIs" dxfId="259" priority="9" operator="equal">
      <formula>"PD"</formula>
    </cfRule>
  </conditionalFormatting>
  <conditionalFormatting sqref="G11:G117">
    <cfRule type="expression" dxfId="258" priority="282">
      <formula>$G$11="SÁB"</formula>
    </cfRule>
    <cfRule type="expression" dxfId="257" priority="284">
      <formula>$G$8="CA"</formula>
    </cfRule>
    <cfRule type="expression" dxfId="256" priority="285">
      <formula>$G$8="FR"</formula>
    </cfRule>
    <cfRule type="expression" dxfId="255" priority="283">
      <formula>$G$11="DOM"</formula>
    </cfRule>
  </conditionalFormatting>
  <conditionalFormatting sqref="H11:H117">
    <cfRule type="expression" dxfId="254" priority="281">
      <formula>$H$8="FR"</formula>
    </cfRule>
    <cfRule type="expression" dxfId="253" priority="130">
      <formula>$H$8="CA"</formula>
    </cfRule>
    <cfRule type="expression" dxfId="252" priority="129">
      <formula>$H$11="DOM"</formula>
    </cfRule>
    <cfRule type="expression" dxfId="251" priority="128">
      <formula>$H$11="SÁB"</formula>
    </cfRule>
  </conditionalFormatting>
  <conditionalFormatting sqref="I11:I117">
    <cfRule type="expression" dxfId="250" priority="127">
      <formula>$I$8="FR"</formula>
    </cfRule>
    <cfRule type="expression" dxfId="249" priority="126">
      <formula>$I$8="CA"</formula>
    </cfRule>
    <cfRule type="expression" dxfId="248" priority="124">
      <formula>$I$11="SÁB"</formula>
    </cfRule>
    <cfRule type="expression" dxfId="247" priority="125">
      <formula>$I$11="DOM"</formula>
    </cfRule>
  </conditionalFormatting>
  <conditionalFormatting sqref="J11:J117">
    <cfRule type="expression" dxfId="246" priority="123">
      <formula>$J$8="FR"</formula>
    </cfRule>
    <cfRule type="expression" dxfId="245" priority="120">
      <formula>$J$11="SÁB"</formula>
    </cfRule>
    <cfRule type="expression" dxfId="244" priority="122">
      <formula>$J$8="CA"</formula>
    </cfRule>
    <cfRule type="expression" dxfId="243" priority="121">
      <formula>$J$11="DOM"</formula>
    </cfRule>
  </conditionalFormatting>
  <conditionalFormatting sqref="K11:K117">
    <cfRule type="expression" dxfId="242" priority="114">
      <formula>$K$8="FR"</formula>
    </cfRule>
    <cfRule type="expression" dxfId="241" priority="105">
      <formula>$K$11="SÁB"</formula>
    </cfRule>
    <cfRule type="expression" dxfId="240" priority="107">
      <formula>$K$8="CA"</formula>
    </cfRule>
    <cfRule type="expression" dxfId="239" priority="106">
      <formula>$K$11="DOM"</formula>
    </cfRule>
  </conditionalFormatting>
  <conditionalFormatting sqref="L11:L117">
    <cfRule type="expression" dxfId="238" priority="119">
      <formula>$L$8="FR"</formula>
    </cfRule>
    <cfRule type="expression" dxfId="237" priority="117">
      <formula>$L$8="CA"</formula>
    </cfRule>
    <cfRule type="expression" dxfId="236" priority="116">
      <formula>$L$11="DOM"</formula>
    </cfRule>
    <cfRule type="expression" dxfId="235" priority="115">
      <formula>$L$11="SÁB"</formula>
    </cfRule>
  </conditionalFormatting>
  <conditionalFormatting sqref="M11:M117">
    <cfRule type="expression" dxfId="234" priority="113">
      <formula>$M$8="FR"</formula>
    </cfRule>
    <cfRule type="expression" dxfId="233" priority="112">
      <formula>$M$8="CA"</formula>
    </cfRule>
    <cfRule type="expression" dxfId="232" priority="111">
      <formula>$M$11="DOM"</formula>
    </cfRule>
    <cfRule type="expression" dxfId="231" priority="110">
      <formula>$M$11="SÁB"</formula>
    </cfRule>
  </conditionalFormatting>
  <conditionalFormatting sqref="N11:N117">
    <cfRule type="expression" dxfId="230" priority="109">
      <formula>$N$8="FR"</formula>
    </cfRule>
    <cfRule type="expression" dxfId="229" priority="108">
      <formula>$N$8="CA"</formula>
    </cfRule>
    <cfRule type="expression" dxfId="228" priority="104">
      <formula>$N$11="DOM"</formula>
    </cfRule>
    <cfRule type="expression" dxfId="227" priority="103">
      <formula>$N$11="SÁB"</formula>
    </cfRule>
  </conditionalFormatting>
  <conditionalFormatting sqref="O11:O117">
    <cfRule type="expression" dxfId="226" priority="102">
      <formula>$O$8="FR"</formula>
    </cfRule>
    <cfRule type="expression" dxfId="225" priority="101">
      <formula>$O$8="CA"</formula>
    </cfRule>
    <cfRule type="expression" dxfId="224" priority="100">
      <formula>$O$11="DOM"</formula>
    </cfRule>
    <cfRule type="expression" dxfId="223" priority="99">
      <formula>$O$11="SÁB"</formula>
    </cfRule>
  </conditionalFormatting>
  <conditionalFormatting sqref="P11:P117">
    <cfRule type="expression" dxfId="222" priority="98">
      <formula>$P$8="FR"</formula>
    </cfRule>
    <cfRule type="expression" dxfId="221" priority="97">
      <formula>$P$8="CA"</formula>
    </cfRule>
    <cfRule type="expression" dxfId="220" priority="96">
      <formula>$P$11="DOM"</formula>
    </cfRule>
    <cfRule type="expression" dxfId="219" priority="95">
      <formula>$P$11="SÁB"</formula>
    </cfRule>
  </conditionalFormatting>
  <conditionalFormatting sqref="Q11:Q117">
    <cfRule type="expression" dxfId="218" priority="94">
      <formula>$Q$8="FR"</formula>
    </cfRule>
    <cfRule type="expression" dxfId="217" priority="93">
      <formula>$Q$8="CA"</formula>
    </cfRule>
    <cfRule type="expression" dxfId="216" priority="92">
      <formula>$Q$11="DOM"</formula>
    </cfRule>
    <cfRule type="expression" dxfId="215" priority="91">
      <formula>$Q$11="SÁB"</formula>
    </cfRule>
  </conditionalFormatting>
  <conditionalFormatting sqref="R11:R117">
    <cfRule type="expression" dxfId="214" priority="87">
      <formula>$R$11="SÁB"</formula>
    </cfRule>
    <cfRule type="expression" dxfId="213" priority="90">
      <formula>$R$8="FR"</formula>
    </cfRule>
    <cfRule type="expression" dxfId="212" priority="89">
      <formula>$R$8="CA"</formula>
    </cfRule>
    <cfRule type="expression" dxfId="211" priority="88">
      <formula>$R$11="DOM"</formula>
    </cfRule>
  </conditionalFormatting>
  <conditionalFormatting sqref="S11:S117">
    <cfRule type="expression" dxfId="210" priority="86">
      <formula>$S$8="FR"</formula>
    </cfRule>
    <cfRule type="expression" dxfId="209" priority="84">
      <formula>$S$11="DOM"</formula>
    </cfRule>
    <cfRule type="expression" dxfId="208" priority="83">
      <formula>$S$11="SÁB"</formula>
    </cfRule>
    <cfRule type="expression" dxfId="207" priority="85">
      <formula>$S$8="CA"</formula>
    </cfRule>
  </conditionalFormatting>
  <conditionalFormatting sqref="T11:T117">
    <cfRule type="expression" dxfId="206" priority="82">
      <formula>$T$8="FR"</formula>
    </cfRule>
    <cfRule type="expression" dxfId="205" priority="81">
      <formula>$T$8="CA"</formula>
    </cfRule>
    <cfRule type="expression" dxfId="204" priority="80">
      <formula>$T$11="DOM"</formula>
    </cfRule>
    <cfRule type="expression" dxfId="203" priority="79">
      <formula>$T$11="SÁB"</formula>
    </cfRule>
  </conditionalFormatting>
  <conditionalFormatting sqref="U11:U117">
    <cfRule type="expression" dxfId="202" priority="78">
      <formula>$U$8="CA"</formula>
    </cfRule>
    <cfRule type="expression" dxfId="201" priority="77">
      <formula>$U$8="FR"</formula>
    </cfRule>
    <cfRule type="expression" dxfId="200" priority="75">
      <formula>$U$11="SÁB"</formula>
    </cfRule>
    <cfRule type="expression" dxfId="199" priority="76">
      <formula>$U$11="DOM"</formula>
    </cfRule>
  </conditionalFormatting>
  <conditionalFormatting sqref="V11:V117">
    <cfRule type="expression" dxfId="198" priority="71">
      <formula>$V$11="SÁB"</formula>
    </cfRule>
    <cfRule type="expression" dxfId="197" priority="72">
      <formula>$V$11="DOM"</formula>
    </cfRule>
    <cfRule type="expression" dxfId="196" priority="73">
      <formula>$V$8="CA"</formula>
    </cfRule>
    <cfRule type="expression" dxfId="195" priority="74">
      <formula>$V$8="FR"</formula>
    </cfRule>
  </conditionalFormatting>
  <conditionalFormatting sqref="W11:W117">
    <cfRule type="expression" dxfId="194" priority="69">
      <formula>$W$8="CA"</formula>
    </cfRule>
    <cfRule type="expression" dxfId="193" priority="70">
      <formula>$W$8="FR"</formula>
    </cfRule>
    <cfRule type="expression" dxfId="192" priority="67">
      <formula>$W$11="SÁB"</formula>
    </cfRule>
    <cfRule type="expression" dxfId="191" priority="68">
      <formula>$W$11="DOM"</formula>
    </cfRule>
  </conditionalFormatting>
  <conditionalFormatting sqref="X11:X117">
    <cfRule type="expression" dxfId="190" priority="64">
      <formula>$X$11="DOM"</formula>
    </cfRule>
    <cfRule type="expression" dxfId="189" priority="63">
      <formula>$X$11="SÁB"</formula>
    </cfRule>
    <cfRule type="expression" dxfId="188" priority="65">
      <formula>$X$8="CA"</formula>
    </cfRule>
    <cfRule type="expression" dxfId="187" priority="66">
      <formula>$X$8="FR"</formula>
    </cfRule>
  </conditionalFormatting>
  <conditionalFormatting sqref="Y11:Y117">
    <cfRule type="expression" dxfId="186" priority="62">
      <formula>$Y$8="FR"</formula>
    </cfRule>
    <cfRule type="expression" dxfId="185" priority="61">
      <formula>$Y$11="CA"</formula>
    </cfRule>
    <cfRule type="expression" dxfId="184" priority="60">
      <formula>$Y$11="DOM"</formula>
    </cfRule>
    <cfRule type="expression" dxfId="183" priority="59">
      <formula>$Y$11="SÁB"</formula>
    </cfRule>
  </conditionalFormatting>
  <conditionalFormatting sqref="Z11:Z117">
    <cfRule type="expression" dxfId="182" priority="55">
      <formula>$Z$11="SÁB"</formula>
    </cfRule>
    <cfRule type="expression" dxfId="181" priority="58">
      <formula>$Z$8="FR"</formula>
    </cfRule>
    <cfRule type="expression" dxfId="180" priority="57">
      <formula>$Z$8="CA"</formula>
    </cfRule>
    <cfRule type="expression" dxfId="179" priority="56">
      <formula>$Z$11="DOM"</formula>
    </cfRule>
  </conditionalFormatting>
  <conditionalFormatting sqref="AA11:AA117">
    <cfRule type="expression" dxfId="178" priority="54">
      <formula>$AA$8="FR"</formula>
    </cfRule>
    <cfRule type="expression" dxfId="177" priority="53">
      <formula>$AA$8="CA"</formula>
    </cfRule>
    <cfRule type="expression" dxfId="176" priority="52">
      <formula>$AA$11="DOM"</formula>
    </cfRule>
    <cfRule type="expression" dxfId="175" priority="51">
      <formula>$AA$11="SÁB"</formula>
    </cfRule>
  </conditionalFormatting>
  <conditionalFormatting sqref="AB11:AB117">
    <cfRule type="expression" dxfId="174" priority="50">
      <formula>$AB$8="FR"</formula>
    </cfRule>
    <cfRule type="expression" dxfId="173" priority="49">
      <formula>$AB$8="CA"</formula>
    </cfRule>
    <cfRule type="expression" dxfId="172" priority="48">
      <formula>$AB$11="DOM"</formula>
    </cfRule>
    <cfRule type="expression" dxfId="171" priority="47">
      <formula>$AB$11="SÁB"</formula>
    </cfRule>
  </conditionalFormatting>
  <conditionalFormatting sqref="AC11:AC117">
    <cfRule type="expression" dxfId="170" priority="46">
      <formula>$AC$8="FR"</formula>
    </cfRule>
    <cfRule type="expression" dxfId="169" priority="45">
      <formula>$AC$8="CA"</formula>
    </cfRule>
    <cfRule type="expression" dxfId="168" priority="44">
      <formula>$AC$11="DOM"</formula>
    </cfRule>
    <cfRule type="expression" dxfId="167" priority="43">
      <formula>$AC$11="SÁB"</formula>
    </cfRule>
  </conditionalFormatting>
  <conditionalFormatting sqref="AD11:AD117">
    <cfRule type="expression" dxfId="166" priority="42">
      <formula>$AD$8="FR"</formula>
    </cfRule>
    <cfRule type="expression" dxfId="165" priority="39">
      <formula>$AD$11="SÁB"</formula>
    </cfRule>
    <cfRule type="expression" dxfId="164" priority="40">
      <formula>$AD$11="DOM"</formula>
    </cfRule>
    <cfRule type="expression" dxfId="163" priority="41">
      <formula>$AD$8="CA"</formula>
    </cfRule>
  </conditionalFormatting>
  <conditionalFormatting sqref="AE11:AE117">
    <cfRule type="expression" dxfId="162" priority="36">
      <formula>$AE$11="DOM"</formula>
    </cfRule>
    <cfRule type="expression" dxfId="161" priority="35">
      <formula>$AE$11="SÁB"</formula>
    </cfRule>
    <cfRule type="expression" dxfId="160" priority="37">
      <formula>$AE$8="CA"</formula>
    </cfRule>
    <cfRule type="expression" dxfId="159" priority="38">
      <formula>$AE$8="FR"</formula>
    </cfRule>
  </conditionalFormatting>
  <conditionalFormatting sqref="AF11:AF117">
    <cfRule type="expression" dxfId="158" priority="33">
      <formula>$AF$8="CA"</formula>
    </cfRule>
    <cfRule type="expression" dxfId="157" priority="32">
      <formula>$AF$11="DOM"</formula>
    </cfRule>
    <cfRule type="expression" dxfId="156" priority="31">
      <formula>$AF$11="SÁB"</formula>
    </cfRule>
    <cfRule type="expression" dxfId="155" priority="34">
      <formula>$AF$8="FR"</formula>
    </cfRule>
  </conditionalFormatting>
  <conditionalFormatting sqref="AG11:AG117">
    <cfRule type="expression" dxfId="154" priority="30">
      <formula>$AG$8="FR"</formula>
    </cfRule>
    <cfRule type="expression" dxfId="153" priority="29">
      <formula>$AG$8="CA"</formula>
    </cfRule>
    <cfRule type="expression" dxfId="152" priority="28">
      <formula>$AG$11="DOM"</formula>
    </cfRule>
    <cfRule type="expression" dxfId="151" priority="27">
      <formula>$AG$11="SÁB"</formula>
    </cfRule>
  </conditionalFormatting>
  <conditionalFormatting sqref="AH11:AH117">
    <cfRule type="expression" dxfId="150" priority="23">
      <formula>$AH$11="SÁB"</formula>
    </cfRule>
    <cfRule type="expression" dxfId="149" priority="25">
      <formula>$AH$8="CA"</formula>
    </cfRule>
    <cfRule type="expression" dxfId="148" priority="24">
      <formula>$AH$11="DOM"</formula>
    </cfRule>
    <cfRule type="expression" dxfId="147" priority="26">
      <formula>$AH$8="FR"</formula>
    </cfRule>
  </conditionalFormatting>
  <conditionalFormatting sqref="AI11:AI117">
    <cfRule type="expression" dxfId="146" priority="21">
      <formula>$AI$8="FR"</formula>
    </cfRule>
    <cfRule type="expression" dxfId="145" priority="20">
      <formula>$AI$11="DOM"</formula>
    </cfRule>
    <cfRule type="expression" dxfId="144" priority="19">
      <formula>$AI$11="SÁB"</formula>
    </cfRule>
    <cfRule type="expression" dxfId="143" priority="22">
      <formula>$AI$8="CA"</formula>
    </cfRule>
  </conditionalFormatting>
  <conditionalFormatting sqref="AJ11:AJ117">
    <cfRule type="expression" dxfId="142" priority="18">
      <formula>$AJ$8="FR"</formula>
    </cfRule>
    <cfRule type="expression" dxfId="141" priority="17">
      <formula>$AJ$8="CA"</formula>
    </cfRule>
    <cfRule type="expression" dxfId="140" priority="16">
      <formula>$AJ$11="DOM"</formula>
    </cfRule>
    <cfRule type="expression" dxfId="139" priority="15">
      <formula>$AJ$11="SÁB"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2025-10-14T20:53:43Z</dcterms:created>
  <dcterms:modified xsi:type="dcterms:W3CDTF">2026-05-11T11:07:51Z</dcterms:modified>
</cp:coreProperties>
</file>